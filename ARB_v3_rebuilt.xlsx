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arningsData" sheetId="2" state="visible" r:id="rId2"/>
    <sheet xmlns:r="http://schemas.openxmlformats.org/officeDocument/2006/relationships" name="PriceData" sheetId="3" state="visible" r:id="rId3"/>
    <sheet xmlns:r="http://schemas.openxmlformats.org/officeDocument/2006/relationships" name="ValueChart" sheetId="4" state="visible" r:id="rId4"/>
    <sheet xmlns:r="http://schemas.openxmlformats.org/officeDocument/2006/relationships" name="FutureProm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#,##0.0"/>
    <numFmt numFmtId="167" formatCode="&quot;$&quot;#,##0.00"/>
    <numFmt numFmtId="168" formatCode="0.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i val="1"/>
      <color rgb="00555555"/>
      <sz val="9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1F2D4E"/>
      <sz val="9"/>
    </font>
    <font>
      <name val="Arial"/>
      <b val="1"/>
      <color rgb="001A5E20"/>
      <sz val="9"/>
    </font>
    <font>
      <name val="Arial"/>
      <b val="1"/>
      <color rgb="00C0392B"/>
      <sz val="9"/>
    </font>
    <font>
      <name val="Arial"/>
      <color rgb="00333333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1F2D4E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0" fontId="4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166" fontId="3" fillId="4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6" fontId="3" fillId="5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168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8" fontId="3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left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v>Price (AUD $)</v>
          </tx>
          <spPr>
            <a:ln xmlns:a="http://schemas.openxmlformats.org/drawingml/2006/main" w="9525">
              <a:solidFill>
                <a:srgbClr val="1565C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'PriceData'!$B$3:$B$532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v>Value Buy (20× TTM EPS)</v>
          </tx>
          <spPr>
            <a:ln xmlns:a="http://schemas.openxmlformats.org/drawingml/2006/main" w="19050">
              <a:solidFill>
                <a:srgbClr val="1A5E2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'PriceData'!$D$3:$D$532</f>
            </numRef>
          </val>
          <smooth val="0"/>
        </ser>
        <ser>
          <idx val="2"/>
          <order val="2"/>
          <tx>
            <v>Value Sell (35× TTM EPS)</v>
          </tx>
          <spPr>
            <a:ln xmlns:a="http://schemas.openxmlformats.org/drawingml/2006/main" w="19050">
              <a:solidFill>
                <a:srgbClr val="C0392B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'PriceData'!$E$3:$E$532</f>
            </numRef>
          </val>
          <smooth val="0"/>
        </ser>
        <ser>
          <idx val="3"/>
          <order val="3"/>
          <tx>
            <v>Div / RRoR (3%)</v>
          </tx>
          <spPr>
            <a:ln xmlns:a="http://schemas.openxmlformats.org/drawingml/2006/main" w="19050">
              <a:solidFill>
                <a:srgbClr val="2E7D32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'PriceData'!$G$3:$G$532</f>
            </numRef>
          </val>
          <smooth val="0"/>
        </ser>
        <ser>
          <idx val="4"/>
          <order val="4"/>
          <tx>
            <v>P/E (60D Avg)</v>
          </tx>
          <spPr>
            <a:ln xmlns:a="http://schemas.openxmlformats.org/drawingml/2006/main" w="15875">
              <a:solidFill>
                <a:srgbClr val="B8860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'PriceData'!$A$3:$A$532</f>
            </numRef>
          </cat>
          <val>
            <numRef>
              <f>'PriceData'!$I$3:$I$532</f>
            </numRef>
          </val>
          <smooth val="0"/>
        </ser>
        <axId val="100"/>
        <axId val="200"/>
      </lineChart>
      <catAx>
        <axId val="10"/>
        <scaling>
          <orientation val="minMax"/>
        </scaling>
        <axPos val="l"/>
        <numFmt formatCode="MMM-YY" sourceLinked="0"/>
        <majorTickMark val="none"/>
        <minorTickMark val="none"/>
        <crossAx val="100"/>
        <lblOffset val="100"/>
        <tickLblSkip val="26"/>
        <tickMarkSkip val="26"/>
      </catAx>
      <valAx>
        <axId val="100"/>
        <scaling>
          <orientation val="minMax"/>
          <max val="60"/>
          <min val="0"/>
        </scaling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b="1" sz="900"/>
                </a:pPr>
                <a:r>
                  <a:rPr lang="en-AU" b="1" sz="900">
                    <a:solidFill>
                      <a:srgbClr val="000000"/>
                    </a:solidFill>
                  </a:rPr>
                  <a:t>Price (AUD $)</a:t>
                </a:r>
              </a:p>
            </rich>
          </tx>
          <spPr>
            <a:solidFill xmlns:a="http://schemas.openxmlformats.org/drawingml/2006/main">
              <a:srgbClr val="FFFF00"/>
            </a:solidFill>
            <a:ln xmlns:a="http://schemas.openxmlformats.org/drawingml/2006/main" w="9525">
              <a:solidFill>
                <a:srgbClr val="000000"/>
              </a:solidFill>
            </a:ln>
          </spPr>
        </title>
        <numFmt formatCode="&quot;$&quot;#,##0.00" sourceLinked="0"/>
        <majorTickMark val="none"/>
        <minorTickMark val="none"/>
        <crossAx val="10"/>
        <majorUnit val="5"/>
      </valAx>
      <valAx>
        <axId val="200"/>
        <scaling>
          <orientation val="minMax"/>
          <max val="50"/>
          <min val="0"/>
        </scaling>
        <axPos val="r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b="1" sz="900"/>
                </a:pPr>
                <a:r>
                  <a:rPr lang="en-AU" b="1" sz="900">
                    <a:solidFill>
                      <a:srgbClr val="000000"/>
                    </a:solidFill>
                  </a:rPr>
                  <a:t>P/E Ratio</a:t>
                </a:r>
              </a:p>
            </rich>
          </tx>
          <spPr>
            <a:solidFill xmlns:a="http://schemas.openxmlformats.org/drawingml/2006/main">
              <a:srgbClr val="FFFF00"/>
            </a:solidFill>
            <a:ln xmlns:a="http://schemas.openxmlformats.org/drawingml/2006/main" w="9525">
              <a:solidFill>
                <a:srgbClr val="000000"/>
              </a:solidFill>
            </a:ln>
          </spPr>
        </title>
        <numFmt formatCode="0.0" sourceLinked="0"/>
        <majorTickMark val="none"/>
        <minorTickMark val="none"/>
        <crossAx val="10"/>
        <crosses val="max"/>
        <majorUnit val="5"/>
      </valAx>
    </plotArea>
    <legend>
      <legendPos val="t"/>
      <overlay val="1"/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404040"/>
          </a:solidFill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224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62" customWidth="1" min="3" max="3"/>
  </cols>
  <sheetData>
    <row r="1" ht="28" customHeight="1">
      <c r="A1" s="1" t="inlineStr">
        <is>
          <t>ARB Corporation (ASX: ARB) — Value Analysis — Settings</t>
        </is>
      </c>
    </row>
    <row r="3" ht="20" customHeight="1">
      <c r="A3" s="2" t="inlineStr">
        <is>
          <t>COMPANY DETAILS</t>
        </is>
      </c>
    </row>
    <row r="4">
      <c r="A4" s="3" t="inlineStr">
        <is>
          <t>Company Name</t>
        </is>
      </c>
      <c r="B4" s="3" t="inlineStr">
        <is>
          <t>ARB Corporation</t>
        </is>
      </c>
      <c r="C4" s="3" t="n"/>
    </row>
    <row r="5">
      <c r="A5" s="3" t="inlineStr">
        <is>
          <t>ASX Ticker</t>
        </is>
      </c>
      <c r="B5" s="3" t="inlineStr">
        <is>
          <t>ARB</t>
        </is>
      </c>
      <c r="C5" s="3" t="n"/>
    </row>
    <row r="6">
      <c r="A6" s="3" t="inlineStr">
        <is>
          <t>Business</t>
        </is>
      </c>
      <c r="B6" s="3" t="inlineStr">
        <is>
          <t>4WD accessories manufacturer &amp; retailer — Aus domestic + export</t>
        </is>
      </c>
      <c r="C6" s="3" t="n"/>
    </row>
    <row r="7" ht="20" customHeight="1">
      <c r="A7" s="2" t="inlineStr">
        <is>
          <t>VALUATION ASSUMPTIONS</t>
        </is>
      </c>
    </row>
    <row r="8">
      <c r="A8" s="3" t="inlineStr">
        <is>
          <t>Buy Multiple (P/E)</t>
        </is>
      </c>
      <c r="B8" s="4" t="n">
        <v>20</v>
      </c>
      <c r="C8" s="5" t="inlineStr">
        <is>
          <t>SLOW TO BUY: price &lt; TTM EPS × 20 ÷ 100</t>
        </is>
      </c>
    </row>
    <row r="9">
      <c r="A9" s="3" t="inlineStr">
        <is>
          <t>Sell Multiple (P/E)</t>
        </is>
      </c>
      <c r="B9" s="4" t="n">
        <v>35</v>
      </c>
      <c r="C9" s="5" t="inlineStr">
        <is>
          <t>EVEN SLOWER TO SELL: price &gt; TTM EPS × 35 ÷ 100</t>
        </is>
      </c>
    </row>
    <row r="10">
      <c r="A10" s="3" t="inlineStr">
        <is>
          <t>Required Rate of Return (RRoR)</t>
        </is>
      </c>
      <c r="B10" s="6" t="n">
        <v>0.03</v>
      </c>
      <c r="C10" s="5" t="inlineStr">
        <is>
          <t>Min dividend yield you require (3%) — drives Div/RRoR line</t>
        </is>
      </c>
    </row>
    <row r="14" ht="20" customHeight="1">
      <c r="A14" s="2" t="inlineStr">
        <is>
          <t>ANALYSIS PERIOD</t>
        </is>
      </c>
    </row>
    <row r="15">
      <c r="A15" s="3" t="inlineStr">
        <is>
          <t>From (approx.)</t>
        </is>
      </c>
      <c r="B15" s="3" t="inlineStr">
        <is>
          <t>Jan 2016</t>
        </is>
      </c>
    </row>
    <row r="16">
      <c r="A16" s="3" t="inlineStr">
        <is>
          <t>To (approx.)</t>
        </is>
      </c>
      <c r="B16" s="3" t="inlineStr">
        <is>
          <t>Latest available</t>
        </is>
      </c>
    </row>
    <row r="17" ht="20" customHeight="1">
      <c r="A17" s="2" t="inlineStr">
        <is>
          <t>HOW TO REFRESH SHARE PRICE DATA</t>
        </is>
      </c>
    </row>
    <row r="18">
      <c r="A18" s="7" t="inlineStr">
        <is>
          <t>1. Go to marketindex.com.au/asx/arb — export daily CSV (Date as YYYYMMDD)</t>
        </is>
      </c>
    </row>
    <row r="19">
      <c r="A19" s="7" t="inlineStr">
        <is>
          <t>2. Ensure CSV columns: Date, Open, High, Low, Close, Volume</t>
        </is>
      </c>
    </row>
    <row r="20">
      <c r="A20" s="7" t="inlineStr">
        <is>
          <t>3. In PriceData sheet: paste Date → col A, Close → col B from row 3 onwards</t>
        </is>
      </c>
    </row>
    <row r="21">
      <c r="A21" s="7" t="inlineStr">
        <is>
          <t>4. PriceData uses WEEKLY Friday close (resampled). Paste daily — agent resamples.</t>
        </is>
      </c>
    </row>
    <row r="22">
      <c r="A22" s="7" t="inlineStr">
        <is>
          <t>5. Chart updates automatically.</t>
        </is>
      </c>
    </row>
    <row r="23">
      <c r="A23" s="7" t="inlineStr">
        <is>
          <t>6. Microsoft 365: =STOCKHISTORY("ARB.AX",DATE(2016,1,1),TODAY(),0,1,0,1)</t>
        </is>
      </c>
    </row>
  </sheetData>
  <mergeCells count="11">
    <mergeCell ref="A19:C19"/>
    <mergeCell ref="A1:C1"/>
    <mergeCell ref="A23:C23"/>
    <mergeCell ref="A14:C14"/>
    <mergeCell ref="A22:C22"/>
    <mergeCell ref="A17:C17"/>
    <mergeCell ref="A18:C18"/>
    <mergeCell ref="A3:C3"/>
    <mergeCell ref="A21:C21"/>
    <mergeCell ref="A7:C7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11" customWidth="1" min="4" max="4"/>
    <col width="10" customWidth="1" min="5" max="5"/>
    <col width="10" customWidth="1" min="6" max="6"/>
    <col width="14" customWidth="1" min="7" max="7"/>
    <col width="15" customWidth="1" min="8" max="8"/>
    <col width="14" customWidth="1" min="9" max="9"/>
    <col width="52" customWidth="1" min="10" max="10"/>
  </cols>
  <sheetData>
    <row r="1" ht="28" customHeight="1">
      <c r="A1" s="8" t="inlineStr">
        <is>
          <t>ARB Corporation (ASX: ARB) — Half-Year Earnings &amp; Dividend Data</t>
        </is>
      </c>
    </row>
    <row r="2" ht="42" customHeight="1">
      <c r="A2" s="9" t="inlineStr">
        <is>
          <t>Ann. Date</t>
        </is>
      </c>
      <c r="B2" s="9" t="inlineStr">
        <is>
          <t>Period</t>
        </is>
      </c>
      <c r="C2" s="9" t="inlineStr">
        <is>
          <t>Half EPS
(AUD ¢)</t>
        </is>
      </c>
      <c r="D2" s="9" t="inlineStr">
        <is>
          <t>TTM EPS
(AUD ¢)</t>
        </is>
      </c>
      <c r="E2" s="9" t="inlineStr">
        <is>
          <t>Half Div
(AUD ¢)</t>
        </is>
      </c>
      <c r="F2" s="9" t="inlineStr">
        <is>
          <t>TTM Div
(AUD ¢)</t>
        </is>
      </c>
      <c r="G2" s="9" t="inlineStr">
        <is>
          <t>Value Buy
(20× E)</t>
        </is>
      </c>
      <c r="H2" s="9" t="inlineStr">
        <is>
          <t>Value Sell
(35× E)</t>
        </is>
      </c>
      <c r="I2" s="9" t="inlineStr">
        <is>
          <t>Div / RRoR
(÷RRoR÷100)</t>
        </is>
      </c>
      <c r="J2" s="9" t="inlineStr">
        <is>
          <t>Notes</t>
        </is>
      </c>
    </row>
    <row r="3">
      <c r="A3" s="10" t="n">
        <v>42419</v>
      </c>
      <c r="B3" s="11" t="inlineStr">
        <is>
          <t>H1 FY2016</t>
        </is>
      </c>
      <c r="C3" s="12" t="n">
        <v>27.5</v>
      </c>
      <c r="D3" s="12" t="n">
        <v>55</v>
      </c>
      <c r="E3" s="12" t="n">
        <v>13</v>
      </c>
      <c r="F3" s="12" t="n">
        <v>26</v>
      </c>
      <c r="G3" s="13">
        <f>D3*Settings!$B$8/100</f>
        <v/>
      </c>
      <c r="H3" s="13">
        <f>D3*Settings!$B$9/100</f>
        <v/>
      </c>
      <c r="I3" s="13">
        <f>F3/Settings!$B$10/100</f>
        <v/>
      </c>
      <c r="J3" s="11" t="inlineStr"/>
    </row>
    <row r="4">
      <c r="A4" s="14" t="n">
        <v>42601</v>
      </c>
      <c r="B4" s="15" t="inlineStr">
        <is>
          <t>FY2016</t>
        </is>
      </c>
      <c r="C4" s="16" t="n">
        <v>34.5</v>
      </c>
      <c r="D4" s="16" t="n">
        <v>62</v>
      </c>
      <c r="E4" s="16" t="n">
        <v>16</v>
      </c>
      <c r="F4" s="16" t="n">
        <v>29</v>
      </c>
      <c r="G4" s="17">
        <f>D4*Settings!$B$8/100</f>
        <v/>
      </c>
      <c r="H4" s="17">
        <f>D4*Settings!$B$9/100</f>
        <v/>
      </c>
      <c r="I4" s="17">
        <f>F4/Settings!$B$10/100</f>
        <v/>
      </c>
      <c r="J4" s="15" t="inlineStr"/>
    </row>
    <row r="5">
      <c r="A5" s="10" t="n">
        <v>42783</v>
      </c>
      <c r="B5" s="11" t="inlineStr">
        <is>
          <t>H1 FY2017</t>
        </is>
      </c>
      <c r="C5" s="12" t="n">
        <v>34</v>
      </c>
      <c r="D5" s="12" t="n">
        <v>65</v>
      </c>
      <c r="E5" s="12" t="n">
        <v>16</v>
      </c>
      <c r="F5" s="12" t="n">
        <v>30.5</v>
      </c>
      <c r="G5" s="13">
        <f>D5*Settings!$B$8/100</f>
        <v/>
      </c>
      <c r="H5" s="13">
        <f>D5*Settings!$B$9/100</f>
        <v/>
      </c>
      <c r="I5" s="13">
        <f>F5/Settings!$B$10/100</f>
        <v/>
      </c>
      <c r="J5" s="11" t="inlineStr"/>
    </row>
    <row r="6">
      <c r="A6" s="14" t="n">
        <v>42965</v>
      </c>
      <c r="B6" s="15" t="inlineStr">
        <is>
          <t>FY2017</t>
        </is>
      </c>
      <c r="C6" s="16" t="n">
        <v>40.5</v>
      </c>
      <c r="D6" s="16" t="n">
        <v>73</v>
      </c>
      <c r="E6" s="16" t="n">
        <v>18.8</v>
      </c>
      <c r="F6" s="16" t="n">
        <v>34</v>
      </c>
      <c r="G6" s="17">
        <f>D6*Settings!$B$8/100</f>
        <v/>
      </c>
      <c r="H6" s="17">
        <f>D6*Settings!$B$9/100</f>
        <v/>
      </c>
      <c r="I6" s="17">
        <f>F6/Settings!$B$10/100</f>
        <v/>
      </c>
      <c r="J6" s="15" t="inlineStr"/>
    </row>
    <row r="7">
      <c r="A7" s="10" t="n">
        <v>43147</v>
      </c>
      <c r="B7" s="11" t="inlineStr">
        <is>
          <t>H1 FY2018</t>
        </is>
      </c>
      <c r="C7" s="12" t="n">
        <v>41</v>
      </c>
      <c r="D7" s="12" t="n">
        <v>77.5</v>
      </c>
      <c r="E7" s="12" t="n">
        <v>19</v>
      </c>
      <c r="F7" s="12" t="n">
        <v>36</v>
      </c>
      <c r="G7" s="13">
        <f>D7*Settings!$B$8/100</f>
        <v/>
      </c>
      <c r="H7" s="13">
        <f>D7*Settings!$B$9/100</f>
        <v/>
      </c>
      <c r="I7" s="13">
        <f>F7/Settings!$B$10/100</f>
        <v/>
      </c>
      <c r="J7" s="11" t="inlineStr"/>
    </row>
    <row r="8">
      <c r="A8" s="14" t="n">
        <v>43329</v>
      </c>
      <c r="B8" s="15" t="inlineStr">
        <is>
          <t>FY2018</t>
        </is>
      </c>
      <c r="C8" s="16" t="n">
        <v>48.2</v>
      </c>
      <c r="D8" s="16" t="n">
        <v>87</v>
      </c>
      <c r="E8" s="16" t="n">
        <v>22</v>
      </c>
      <c r="F8" s="16" t="n">
        <v>40</v>
      </c>
      <c r="G8" s="17">
        <f>D8*Settings!$B$8/100</f>
        <v/>
      </c>
      <c r="H8" s="17">
        <f>D8*Settings!$B$9/100</f>
        <v/>
      </c>
      <c r="I8" s="17">
        <f>F8/Settings!$B$10/100</f>
        <v/>
      </c>
      <c r="J8" s="15" t="inlineStr"/>
    </row>
    <row r="9">
      <c r="A9" s="10" t="n">
        <v>43511</v>
      </c>
      <c r="B9" s="11" t="inlineStr">
        <is>
          <t>H1 FY2019</t>
        </is>
      </c>
      <c r="C9" s="12" t="n">
        <v>45</v>
      </c>
      <c r="D9" s="12" t="n">
        <v>88.5</v>
      </c>
      <c r="E9" s="12" t="n">
        <v>21.5</v>
      </c>
      <c r="F9" s="12" t="n">
        <v>41.5</v>
      </c>
      <c r="G9" s="13">
        <f>D9*Settings!$B$8/100</f>
        <v/>
      </c>
      <c r="H9" s="13">
        <f>D9*Settings!$B$9/100</f>
        <v/>
      </c>
      <c r="I9" s="13">
        <f>F9/Settings!$B$10/100</f>
        <v/>
      </c>
      <c r="J9" s="11" t="inlineStr"/>
    </row>
    <row r="10">
      <c r="A10" s="14" t="n">
        <v>43693</v>
      </c>
      <c r="B10" s="15" t="inlineStr">
        <is>
          <t>FY2019</t>
        </is>
      </c>
      <c r="C10" s="16" t="n">
        <v>50.8</v>
      </c>
      <c r="D10" s="16" t="n">
        <v>95</v>
      </c>
      <c r="E10" s="16" t="n">
        <v>23.2</v>
      </c>
      <c r="F10" s="16" t="n">
        <v>44</v>
      </c>
      <c r="G10" s="17">
        <f>D10*Settings!$B$8/100</f>
        <v/>
      </c>
      <c r="H10" s="17">
        <f>D10*Settings!$B$9/100</f>
        <v/>
      </c>
      <c r="I10" s="17">
        <f>F10/Settings!$B$10/100</f>
        <v/>
      </c>
      <c r="J10" s="15" t="inlineStr"/>
    </row>
    <row r="11">
      <c r="A11" s="10" t="n">
        <v>43875</v>
      </c>
      <c r="B11" s="11" t="inlineStr">
        <is>
          <t>H1 FY2020</t>
        </is>
      </c>
      <c r="C11" s="12" t="n">
        <v>44.5</v>
      </c>
      <c r="D11" s="12" t="n">
        <v>92</v>
      </c>
      <c r="E11" s="12" t="n">
        <v>21</v>
      </c>
      <c r="F11" s="12" t="n">
        <v>43</v>
      </c>
      <c r="G11" s="13">
        <f>D11*Settings!$B$8/100</f>
        <v/>
      </c>
      <c r="H11" s="13">
        <f>D11*Settings!$B$9/100</f>
        <v/>
      </c>
      <c r="I11" s="13">
        <f>F11/Settings!$B$10/100</f>
        <v/>
      </c>
      <c r="J11" s="11" t="inlineStr">
        <is>
          <t>COVID uncertainty</t>
        </is>
      </c>
    </row>
    <row r="12">
      <c r="A12" s="14" t="n">
        <v>44064</v>
      </c>
      <c r="B12" s="15" t="inlineStr">
        <is>
          <t>FY2020</t>
        </is>
      </c>
      <c r="C12" s="16" t="n">
        <v>40</v>
      </c>
      <c r="D12" s="16" t="n">
        <v>86</v>
      </c>
      <c r="E12" s="16" t="n">
        <v>18.5</v>
      </c>
      <c r="F12" s="16" t="n">
        <v>40</v>
      </c>
      <c r="G12" s="17">
        <f>D12*Settings!$B$8/100</f>
        <v/>
      </c>
      <c r="H12" s="17">
        <f>D12*Settings!$B$9/100</f>
        <v/>
      </c>
      <c r="I12" s="17">
        <f>F12/Settings!$B$10/100</f>
        <v/>
      </c>
      <c r="J12" s="15" t="inlineStr">
        <is>
          <t>COVID year</t>
        </is>
      </c>
    </row>
    <row r="13">
      <c r="A13" s="10" t="n">
        <v>44246</v>
      </c>
      <c r="B13" s="11" t="inlineStr">
        <is>
          <t>H1 FY2021</t>
        </is>
      </c>
      <c r="C13" s="12" t="n">
        <v>67</v>
      </c>
      <c r="D13" s="12" t="n">
        <v>110</v>
      </c>
      <c r="E13" s="12" t="n">
        <v>26</v>
      </c>
      <c r="F13" s="12" t="n">
        <v>46</v>
      </c>
      <c r="G13" s="13">
        <f>D13*Settings!$B$8/100</f>
        <v/>
      </c>
      <c r="H13" s="13">
        <f>D13*Settings!$B$9/100</f>
        <v/>
      </c>
      <c r="I13" s="13">
        <f>F13/Settings!$B$10/100</f>
        <v/>
      </c>
      <c r="J13" s="11" t="inlineStr">
        <is>
          <t>4WD demand surge</t>
        </is>
      </c>
    </row>
    <row r="14">
      <c r="A14" s="14" t="n">
        <v>44428</v>
      </c>
      <c r="B14" s="15" t="inlineStr">
        <is>
          <t>FY2021</t>
        </is>
      </c>
      <c r="C14" s="16" t="n">
        <v>95</v>
      </c>
      <c r="D14" s="16" t="n">
        <v>150</v>
      </c>
      <c r="E14" s="16" t="n">
        <v>31</v>
      </c>
      <c r="F14" s="16" t="n">
        <v>54</v>
      </c>
      <c r="G14" s="17">
        <f>D14*Settings!$B$8/100</f>
        <v/>
      </c>
      <c r="H14" s="17">
        <f>D14*Settings!$B$9/100</f>
        <v/>
      </c>
      <c r="I14" s="17">
        <f>F14/Settings!$B$10/100</f>
        <v/>
      </c>
      <c r="J14" s="15" t="inlineStr">
        <is>
          <t>Record COVID-era earnings</t>
        </is>
      </c>
    </row>
    <row r="15">
      <c r="A15" s="10" t="n">
        <v>44610</v>
      </c>
      <c r="B15" s="11" t="inlineStr">
        <is>
          <t>H1 FY2022</t>
        </is>
      </c>
      <c r="C15" s="12" t="n">
        <v>90</v>
      </c>
      <c r="D15" s="12" t="n">
        <v>165</v>
      </c>
      <c r="E15" s="12" t="n">
        <v>37</v>
      </c>
      <c r="F15" s="12" t="n">
        <v>64</v>
      </c>
      <c r="G15" s="13">
        <f>D15*Settings!$B$8/100</f>
        <v/>
      </c>
      <c r="H15" s="13">
        <f>D15*Settings!$B$9/100</f>
        <v/>
      </c>
      <c r="I15" s="13">
        <f>F15/Settings!$B$10/100</f>
        <v/>
      </c>
      <c r="J15" s="11" t="inlineStr"/>
    </row>
    <row r="16">
      <c r="A16" s="14" t="n">
        <v>44792</v>
      </c>
      <c r="B16" s="15" t="inlineStr">
        <is>
          <t>FY2022</t>
        </is>
      </c>
      <c r="C16" s="16" t="n">
        <v>95.5</v>
      </c>
      <c r="D16" s="16" t="n">
        <v>178</v>
      </c>
      <c r="E16" s="16" t="n">
        <v>36</v>
      </c>
      <c r="F16" s="16" t="n">
        <v>68</v>
      </c>
      <c r="G16" s="17">
        <f>D16*Settings!$B$8/100</f>
        <v/>
      </c>
      <c r="H16" s="17">
        <f>D16*Settings!$B$9/100</f>
        <v/>
      </c>
      <c r="I16" s="17">
        <f>F16/Settings!$B$10/100</f>
        <v/>
      </c>
      <c r="J16" s="15" t="inlineStr">
        <is>
          <t>Peak post-COVID</t>
        </is>
      </c>
    </row>
    <row r="17">
      <c r="A17" s="10" t="n">
        <v>44974</v>
      </c>
      <c r="B17" s="11" t="inlineStr">
        <is>
          <t>H1 FY2023</t>
        </is>
      </c>
      <c r="C17" s="12" t="n">
        <v>66</v>
      </c>
      <c r="D17" s="12" t="n">
        <v>155</v>
      </c>
      <c r="E17" s="12" t="n">
        <v>28</v>
      </c>
      <c r="F17" s="12" t="n">
        <v>62</v>
      </c>
      <c r="G17" s="13">
        <f>D17*Settings!$B$8/100</f>
        <v/>
      </c>
      <c r="H17" s="13">
        <f>D17*Settings!$B$9/100</f>
        <v/>
      </c>
      <c r="I17" s="13">
        <f>F17/Settings!$B$10/100</f>
        <v/>
      </c>
      <c r="J17" s="11" t="inlineStr">
        <is>
          <t>Normalising</t>
        </is>
      </c>
    </row>
    <row r="18">
      <c r="A18" s="14" t="n">
        <v>45156</v>
      </c>
      <c r="B18" s="15" t="inlineStr">
        <is>
          <t>FY2023</t>
        </is>
      </c>
      <c r="C18" s="16" t="n">
        <v>53.5</v>
      </c>
      <c r="D18" s="16" t="n">
        <v>131</v>
      </c>
      <c r="E18" s="16" t="n">
        <v>26</v>
      </c>
      <c r="F18" s="16" t="n">
        <v>57</v>
      </c>
      <c r="G18" s="17">
        <f>D18*Settings!$B$8/100</f>
        <v/>
      </c>
      <c r="H18" s="17">
        <f>D18*Settings!$B$9/100</f>
        <v/>
      </c>
      <c r="I18" s="17">
        <f>F18/Settings!$B$10/100</f>
        <v/>
      </c>
      <c r="J18" s="15" t="inlineStr"/>
    </row>
    <row r="19">
      <c r="A19" s="10" t="n">
        <v>45338</v>
      </c>
      <c r="B19" s="11" t="inlineStr">
        <is>
          <t>H1 FY2024</t>
        </is>
      </c>
      <c r="C19" s="12" t="n">
        <v>58.5</v>
      </c>
      <c r="D19" s="12" t="n">
        <v>124</v>
      </c>
      <c r="E19" s="12" t="n">
        <v>26.5</v>
      </c>
      <c r="F19" s="12" t="n">
        <v>55</v>
      </c>
      <c r="G19" s="13">
        <f>D19*Settings!$B$8/100</f>
        <v/>
      </c>
      <c r="H19" s="13">
        <f>D19*Settings!$B$9/100</f>
        <v/>
      </c>
      <c r="I19" s="13">
        <f>F19/Settings!$B$10/100</f>
        <v/>
      </c>
      <c r="J19" s="11" t="inlineStr">
        <is>
          <t>FY2024 underlying EPS ~124.88c</t>
        </is>
      </c>
    </row>
    <row r="20">
      <c r="A20" s="14" t="n">
        <v>45520</v>
      </c>
      <c r="B20" s="15" t="inlineStr">
        <is>
          <t>FY2024</t>
        </is>
      </c>
      <c r="C20" s="16" t="n">
        <v>62.9</v>
      </c>
      <c r="D20" s="16" t="n">
        <v>124.88</v>
      </c>
      <c r="E20" s="16" t="n">
        <v>28.5</v>
      </c>
      <c r="F20" s="16" t="n">
        <v>56</v>
      </c>
      <c r="G20" s="17">
        <f>D20*Settings!$B$8/100</f>
        <v/>
      </c>
      <c r="H20" s="17">
        <f>D20*Settings!$B$9/100</f>
        <v/>
      </c>
      <c r="I20" s="17">
        <f>F20/Settings!$B$10/100</f>
        <v/>
      </c>
      <c r="J20" s="15" t="inlineStr">
        <is>
          <t>FY2024 confirmed EPS 124.88c</t>
        </is>
      </c>
    </row>
    <row r="21">
      <c r="A21" s="10" t="n">
        <v>45709</v>
      </c>
      <c r="B21" s="11" t="inlineStr">
        <is>
          <t>H1 FY2025</t>
        </is>
      </c>
      <c r="C21" s="12" t="n">
        <v>57.6</v>
      </c>
      <c r="D21" s="12" t="n">
        <v>120</v>
      </c>
      <c r="E21" s="12" t="n">
        <v>26</v>
      </c>
      <c r="F21" s="12" t="n">
        <v>54</v>
      </c>
      <c r="G21" s="13">
        <f>D21*Settings!$B$8/100</f>
        <v/>
      </c>
      <c r="H21" s="13">
        <f>D21*Settings!$B$9/100</f>
        <v/>
      </c>
      <c r="I21" s="13">
        <f>F21/Settings!$B$10/100</f>
        <v/>
      </c>
      <c r="J21" s="11" t="inlineStr">
        <is>
          <t>Est.</t>
        </is>
      </c>
    </row>
    <row r="22">
      <c r="A22" s="14" t="n">
        <v>45891</v>
      </c>
      <c r="B22" s="15" t="inlineStr">
        <is>
          <t>FY2025</t>
        </is>
      </c>
      <c r="C22" s="16" t="n">
        <v>58</v>
      </c>
      <c r="D22" s="16" t="n">
        <v>118</v>
      </c>
      <c r="E22" s="16" t="n">
        <v>26</v>
      </c>
      <c r="F22" s="16" t="n">
        <v>53</v>
      </c>
      <c r="G22" s="17">
        <f>D22*Settings!$B$8/100</f>
        <v/>
      </c>
      <c r="H22" s="17">
        <f>D22*Settings!$B$9/100</f>
        <v/>
      </c>
      <c r="I22" s="17">
        <f>F22/Settings!$B$10/100</f>
        <v/>
      </c>
      <c r="J22" s="15" t="inlineStr">
        <is>
          <t>Est.</t>
        </is>
      </c>
    </row>
    <row r="23">
      <c r="A23" s="10" t="n">
        <v>46073</v>
      </c>
      <c r="B23" s="11" t="inlineStr">
        <is>
          <t>H1 FY2026</t>
        </is>
      </c>
      <c r="C23" s="12" t="n">
        <v>57</v>
      </c>
      <c r="D23" s="12" t="n">
        <v>116</v>
      </c>
      <c r="E23" s="12" t="n">
        <v>25.5</v>
      </c>
      <c r="F23" s="12" t="n">
        <v>52</v>
      </c>
      <c r="G23" s="13">
        <f>D23*Settings!$B$8/100</f>
        <v/>
      </c>
      <c r="H23" s="13">
        <f>D23*Settings!$B$9/100</f>
        <v/>
      </c>
      <c r="I23" s="13">
        <f>F23/Settings!$B$10/100</f>
        <v/>
      </c>
      <c r="J23" s="11" t="inlineStr">
        <is>
          <t>Est. — H1 FY2026 NPAT ~$42.2M confirmed; update TTM when full data available</t>
        </is>
      </c>
    </row>
    <row r="25" ht="30" customHeight="1">
      <c r="A25" s="18" t="inlineStr">
        <is>
          <t>TTM EPS = trailing 12-month underlying EPS | Value Buy = TTM EPS × 20× ÷ 100 | Value Sell = TTM EPS × 35× ÷ 100 | Div/RRoR = TTM Div ÷ RRoR ÷ 100 | Ordinary dividends only — specials excluded</t>
        </is>
      </c>
    </row>
  </sheetData>
  <mergeCells count="2">
    <mergeCell ref="A1:J1"/>
    <mergeCell ref="A25:J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5" customWidth="1" min="5" max="5"/>
    <col width="10" customWidth="1" min="6" max="6"/>
    <col width="13" customWidth="1" min="7" max="7"/>
    <col width="9" customWidth="1" min="8" max="8"/>
    <col width="13" customWidth="1" min="9" max="9"/>
  </cols>
  <sheetData>
    <row r="1">
      <c r="A1" s="19" t="inlineStr">
        <is>
          <t>ARB Corporation (ASX: ARB) — Weekly Price &amp; Value Data</t>
        </is>
      </c>
    </row>
    <row r="2" ht="42" customHeight="1">
      <c r="A2" s="9" t="inlineStr">
        <is>
          <t>Date
(Fri)</t>
        </is>
      </c>
      <c r="B2" s="9" t="inlineStr">
        <is>
          <t>Price
(AUD $)</t>
        </is>
      </c>
      <c r="C2" s="9" t="inlineStr">
        <is>
          <t>TTM EPS
(¢)</t>
        </is>
      </c>
      <c r="D2" s="9" t="inlineStr">
        <is>
          <t>Value Buy
(20× E)</t>
        </is>
      </c>
      <c r="E2" s="9" t="inlineStr">
        <is>
          <t>Value Sell
(35× E)</t>
        </is>
      </c>
      <c r="F2" s="9" t="inlineStr">
        <is>
          <t>TTM Div
(¢)</t>
        </is>
      </c>
      <c r="G2" s="9" t="inlineStr">
        <is>
          <t>Div / RRoR
($)</t>
        </is>
      </c>
      <c r="H2" s="9" t="inlineStr">
        <is>
          <t>P/E
Ratio</t>
        </is>
      </c>
      <c r="I2" s="9" t="inlineStr">
        <is>
          <t>P/E 60D
Avg</t>
        </is>
      </c>
    </row>
    <row r="3">
      <c r="A3" s="20" t="n">
        <v>42370</v>
      </c>
      <c r="B3" s="13" t="n">
        <v>2.03</v>
      </c>
      <c r="C3" s="12" t="n"/>
      <c r="D3" s="13" t="n"/>
      <c r="E3" s="13" t="n"/>
      <c r="F3" s="12" t="n"/>
      <c r="G3" s="13" t="n"/>
      <c r="H3" s="21" t="n"/>
      <c r="I3" s="21" t="n"/>
    </row>
    <row r="4">
      <c r="A4" s="22" t="n">
        <v>42377</v>
      </c>
      <c r="B4" s="17" t="n">
        <v>1.91</v>
      </c>
      <c r="C4" s="16" t="n"/>
      <c r="D4" s="17" t="n"/>
      <c r="E4" s="17" t="n"/>
      <c r="F4" s="16" t="n"/>
      <c r="G4" s="17" t="n"/>
      <c r="H4" s="23" t="n"/>
      <c r="I4" s="23" t="n"/>
    </row>
    <row r="5">
      <c r="A5" s="20" t="n">
        <v>42384</v>
      </c>
      <c r="B5" s="13" t="n">
        <v>2.11</v>
      </c>
      <c r="C5" s="12" t="n"/>
      <c r="D5" s="13" t="n"/>
      <c r="E5" s="13" t="n"/>
      <c r="F5" s="12" t="n"/>
      <c r="G5" s="13" t="n"/>
      <c r="H5" s="21" t="n"/>
      <c r="I5" s="21" t="n"/>
    </row>
    <row r="6">
      <c r="A6" s="22" t="n">
        <v>42391</v>
      </c>
      <c r="B6" s="17" t="n">
        <v>2.15</v>
      </c>
      <c r="C6" s="16" t="n"/>
      <c r="D6" s="17" t="n"/>
      <c r="E6" s="17" t="n"/>
      <c r="F6" s="16" t="n"/>
      <c r="G6" s="17" t="n"/>
      <c r="H6" s="23" t="n"/>
      <c r="I6" s="23" t="n"/>
    </row>
    <row r="7">
      <c r="A7" s="20" t="n">
        <v>42398</v>
      </c>
      <c r="B7" s="13" t="n">
        <v>1.88</v>
      </c>
      <c r="C7" s="12" t="n"/>
      <c r="D7" s="13" t="n"/>
      <c r="E7" s="13" t="n"/>
      <c r="F7" s="12" t="n"/>
      <c r="G7" s="13" t="n"/>
      <c r="H7" s="21" t="n"/>
      <c r="I7" s="21" t="n"/>
    </row>
    <row r="8">
      <c r="A8" s="22" t="n">
        <v>42405</v>
      </c>
      <c r="B8" s="17" t="n">
        <v>1.96</v>
      </c>
      <c r="C8" s="16" t="n"/>
      <c r="D8" s="17" t="n"/>
      <c r="E8" s="17" t="n"/>
      <c r="F8" s="16" t="n"/>
      <c r="G8" s="17" t="n"/>
      <c r="H8" s="23" t="n"/>
      <c r="I8" s="23" t="n"/>
    </row>
    <row r="9">
      <c r="A9" s="20" t="n">
        <v>42412</v>
      </c>
      <c r="B9" s="13" t="n">
        <v>2.12</v>
      </c>
      <c r="C9" s="12" t="n"/>
      <c r="D9" s="13" t="n"/>
      <c r="E9" s="13" t="n"/>
      <c r="F9" s="12" t="n"/>
      <c r="G9" s="13" t="n"/>
      <c r="H9" s="21" t="n"/>
      <c r="I9" s="21" t="n"/>
    </row>
    <row r="10">
      <c r="A10" s="22" t="n">
        <v>42419</v>
      </c>
      <c r="B10" s="17" t="n">
        <v>2.09</v>
      </c>
      <c r="C10" s="16" t="n">
        <v>55</v>
      </c>
      <c r="D10" s="17" t="n">
        <v>11</v>
      </c>
      <c r="E10" s="17" t="n">
        <v>19.25</v>
      </c>
      <c r="F10" s="16" t="n">
        <v>26</v>
      </c>
      <c r="G10" s="17" t="n">
        <v>8.666666666666668</v>
      </c>
      <c r="H10" s="23" t="n">
        <v>3.799999999999999</v>
      </c>
      <c r="I10" s="23" t="n"/>
    </row>
    <row r="11">
      <c r="A11" s="20" t="n">
        <v>42426</v>
      </c>
      <c r="B11" s="13" t="n">
        <v>2.14</v>
      </c>
      <c r="C11" s="12" t="n">
        <v>55</v>
      </c>
      <c r="D11" s="13" t="n">
        <v>11</v>
      </c>
      <c r="E11" s="13" t="n">
        <v>19.25</v>
      </c>
      <c r="F11" s="12" t="n">
        <v>26</v>
      </c>
      <c r="G11" s="13" t="n">
        <v>8.666666666666668</v>
      </c>
      <c r="H11" s="21" t="n">
        <v>3.890909090909091</v>
      </c>
      <c r="I11" s="21" t="n"/>
    </row>
    <row r="12">
      <c r="A12" s="22" t="n">
        <v>42433</v>
      </c>
      <c r="B12" s="17" t="n">
        <v>2.07</v>
      </c>
      <c r="C12" s="16" t="n">
        <v>55</v>
      </c>
      <c r="D12" s="17" t="n">
        <v>11</v>
      </c>
      <c r="E12" s="17" t="n">
        <v>19.25</v>
      </c>
      <c r="F12" s="16" t="n">
        <v>26</v>
      </c>
      <c r="G12" s="17" t="n">
        <v>8.666666666666668</v>
      </c>
      <c r="H12" s="23" t="n">
        <v>3.763636363636363</v>
      </c>
      <c r="I12" s="23" t="n"/>
    </row>
    <row r="13">
      <c r="A13" s="20" t="n">
        <v>42440</v>
      </c>
      <c r="B13" s="13" t="n">
        <v>2.27</v>
      </c>
      <c r="C13" s="12" t="n">
        <v>55</v>
      </c>
      <c r="D13" s="13" t="n">
        <v>11</v>
      </c>
      <c r="E13" s="13" t="n">
        <v>19.25</v>
      </c>
      <c r="F13" s="12" t="n">
        <v>26</v>
      </c>
      <c r="G13" s="13" t="n">
        <v>8.666666666666668</v>
      </c>
      <c r="H13" s="21" t="n">
        <v>4.127272727272727</v>
      </c>
      <c r="I13" s="21" t="n">
        <v>3.9</v>
      </c>
    </row>
    <row r="14">
      <c r="A14" s="22" t="n">
        <v>42447</v>
      </c>
      <c r="B14" s="17" t="n">
        <v>2.27</v>
      </c>
      <c r="C14" s="16" t="n">
        <v>55</v>
      </c>
      <c r="D14" s="17" t="n">
        <v>11</v>
      </c>
      <c r="E14" s="17" t="n">
        <v>19.25</v>
      </c>
      <c r="F14" s="16" t="n">
        <v>26</v>
      </c>
      <c r="G14" s="17" t="n">
        <v>8.666666666666668</v>
      </c>
      <c r="H14" s="23" t="n">
        <v>4.127272727272727</v>
      </c>
      <c r="I14" s="23" t="n">
        <v>3.94</v>
      </c>
    </row>
    <row r="15">
      <c r="A15" s="20" t="n">
        <v>42454</v>
      </c>
      <c r="B15" s="13" t="n">
        <v>2.22</v>
      </c>
      <c r="C15" s="12" t="n">
        <v>55</v>
      </c>
      <c r="D15" s="13" t="n">
        <v>11</v>
      </c>
      <c r="E15" s="13" t="n">
        <v>19.25</v>
      </c>
      <c r="F15" s="12" t="n">
        <v>26</v>
      </c>
      <c r="G15" s="13" t="n">
        <v>8.666666666666668</v>
      </c>
      <c r="H15" s="21" t="n">
        <v>4.036363636363636</v>
      </c>
      <c r="I15" s="21" t="n">
        <v>3.96</v>
      </c>
    </row>
    <row r="16">
      <c r="A16" s="22" t="n">
        <v>42461</v>
      </c>
      <c r="B16" s="17" t="n">
        <v>2.34</v>
      </c>
      <c r="C16" s="16" t="n">
        <v>55</v>
      </c>
      <c r="D16" s="17" t="n">
        <v>11</v>
      </c>
      <c r="E16" s="17" t="n">
        <v>19.25</v>
      </c>
      <c r="F16" s="16" t="n">
        <v>26</v>
      </c>
      <c r="G16" s="17" t="n">
        <v>8.666666666666668</v>
      </c>
      <c r="H16" s="23" t="n">
        <v>4.254545454545454</v>
      </c>
      <c r="I16" s="23" t="n">
        <v>4</v>
      </c>
    </row>
    <row r="17">
      <c r="A17" s="20" t="n">
        <v>42468</v>
      </c>
      <c r="B17" s="13" t="n">
        <v>2.3</v>
      </c>
      <c r="C17" s="12" t="n">
        <v>55</v>
      </c>
      <c r="D17" s="13" t="n">
        <v>11</v>
      </c>
      <c r="E17" s="13" t="n">
        <v>19.25</v>
      </c>
      <c r="F17" s="12" t="n">
        <v>26</v>
      </c>
      <c r="G17" s="13" t="n">
        <v>8.666666666666668</v>
      </c>
      <c r="H17" s="21" t="n">
        <v>4.181818181818181</v>
      </c>
      <c r="I17" s="21" t="n">
        <v>4.02</v>
      </c>
    </row>
    <row r="18">
      <c r="A18" s="22" t="n">
        <v>42475</v>
      </c>
      <c r="B18" s="17" t="n">
        <v>2.18</v>
      </c>
      <c r="C18" s="16" t="n">
        <v>55</v>
      </c>
      <c r="D18" s="17" t="n">
        <v>11</v>
      </c>
      <c r="E18" s="17" t="n">
        <v>19.25</v>
      </c>
      <c r="F18" s="16" t="n">
        <v>26</v>
      </c>
      <c r="G18" s="17" t="n">
        <v>8.666666666666668</v>
      </c>
      <c r="H18" s="23" t="n">
        <v>3.963636363636363</v>
      </c>
      <c r="I18" s="23" t="n">
        <v>4.02</v>
      </c>
    </row>
    <row r="19">
      <c r="A19" s="20" t="n">
        <v>42482</v>
      </c>
      <c r="B19" s="13" t="n">
        <v>2.32</v>
      </c>
      <c r="C19" s="12" t="n">
        <v>55</v>
      </c>
      <c r="D19" s="13" t="n">
        <v>11</v>
      </c>
      <c r="E19" s="13" t="n">
        <v>19.25</v>
      </c>
      <c r="F19" s="12" t="n">
        <v>26</v>
      </c>
      <c r="G19" s="13" t="n">
        <v>8.666666666666668</v>
      </c>
      <c r="H19" s="21" t="n">
        <v>4.218181818181818</v>
      </c>
      <c r="I19" s="21" t="n">
        <v>4.04</v>
      </c>
    </row>
    <row r="20">
      <c r="A20" s="22" t="n">
        <v>42489</v>
      </c>
      <c r="B20" s="17" t="n">
        <v>2.21</v>
      </c>
      <c r="C20" s="16" t="n">
        <v>55</v>
      </c>
      <c r="D20" s="17" t="n">
        <v>11</v>
      </c>
      <c r="E20" s="17" t="n">
        <v>19.25</v>
      </c>
      <c r="F20" s="16" t="n">
        <v>26</v>
      </c>
      <c r="G20" s="17" t="n">
        <v>8.666666666666668</v>
      </c>
      <c r="H20" s="23" t="n">
        <v>4.018181818181818</v>
      </c>
      <c r="I20" s="23" t="n">
        <v>4.03</v>
      </c>
    </row>
    <row r="21">
      <c r="A21" s="20" t="n">
        <v>42496</v>
      </c>
      <c r="B21" s="13" t="n">
        <v>2.41</v>
      </c>
      <c r="C21" s="12" t="n">
        <v>55</v>
      </c>
      <c r="D21" s="13" t="n">
        <v>11</v>
      </c>
      <c r="E21" s="13" t="n">
        <v>19.25</v>
      </c>
      <c r="F21" s="12" t="n">
        <v>26</v>
      </c>
      <c r="G21" s="13" t="n">
        <v>8.666666666666668</v>
      </c>
      <c r="H21" s="21" t="n">
        <v>4.381818181818182</v>
      </c>
      <c r="I21" s="21" t="n">
        <v>4.06</v>
      </c>
    </row>
    <row r="22">
      <c r="A22" s="22" t="n">
        <v>42503</v>
      </c>
      <c r="B22" s="17" t="n">
        <v>2.33</v>
      </c>
      <c r="C22" s="16" t="n">
        <v>55</v>
      </c>
      <c r="D22" s="17" t="n">
        <v>11</v>
      </c>
      <c r="E22" s="17" t="n">
        <v>19.25</v>
      </c>
      <c r="F22" s="16" t="n">
        <v>26</v>
      </c>
      <c r="G22" s="17" t="n">
        <v>8.666666666666668</v>
      </c>
      <c r="H22" s="23" t="n">
        <v>4.236363636363636</v>
      </c>
      <c r="I22" s="23" t="n">
        <v>4.1</v>
      </c>
    </row>
    <row r="23">
      <c r="A23" s="20" t="n">
        <v>42510</v>
      </c>
      <c r="B23" s="13" t="n">
        <v>2.34</v>
      </c>
      <c r="C23" s="12" t="n">
        <v>55</v>
      </c>
      <c r="D23" s="13" t="n">
        <v>11</v>
      </c>
      <c r="E23" s="13" t="n">
        <v>19.25</v>
      </c>
      <c r="F23" s="12" t="n">
        <v>26</v>
      </c>
      <c r="G23" s="13" t="n">
        <v>8.666666666666668</v>
      </c>
      <c r="H23" s="21" t="n">
        <v>4.254545454545454</v>
      </c>
      <c r="I23" s="21" t="n">
        <v>4.13</v>
      </c>
    </row>
    <row r="24">
      <c r="A24" s="22" t="n">
        <v>42517</v>
      </c>
      <c r="B24" s="17" t="n">
        <v>2.3</v>
      </c>
      <c r="C24" s="16" t="n">
        <v>55</v>
      </c>
      <c r="D24" s="17" t="n">
        <v>11</v>
      </c>
      <c r="E24" s="17" t="n">
        <v>19.25</v>
      </c>
      <c r="F24" s="16" t="n">
        <v>26</v>
      </c>
      <c r="G24" s="17" t="n">
        <v>8.666666666666668</v>
      </c>
      <c r="H24" s="23" t="n">
        <v>4.181818181818181</v>
      </c>
      <c r="I24" s="23" t="n">
        <v>4.17</v>
      </c>
    </row>
    <row r="25">
      <c r="A25" s="20" t="n">
        <v>42524</v>
      </c>
      <c r="B25" s="13" t="n">
        <v>2.51</v>
      </c>
      <c r="C25" s="12" t="n">
        <v>55</v>
      </c>
      <c r="D25" s="13" t="n">
        <v>11</v>
      </c>
      <c r="E25" s="13" t="n">
        <v>19.25</v>
      </c>
      <c r="F25" s="12" t="n">
        <v>26</v>
      </c>
      <c r="G25" s="13" t="n">
        <v>8.666666666666668</v>
      </c>
      <c r="H25" s="21" t="n">
        <v>4.563636363636363</v>
      </c>
      <c r="I25" s="21" t="n">
        <v>4.2</v>
      </c>
    </row>
    <row r="26">
      <c r="A26" s="22" t="n">
        <v>42531</v>
      </c>
      <c r="B26" s="17" t="n">
        <v>2.39</v>
      </c>
      <c r="C26" s="16" t="n">
        <v>55</v>
      </c>
      <c r="D26" s="17" t="n">
        <v>11</v>
      </c>
      <c r="E26" s="17" t="n">
        <v>19.25</v>
      </c>
      <c r="F26" s="16" t="n">
        <v>26</v>
      </c>
      <c r="G26" s="17" t="n">
        <v>8.666666666666668</v>
      </c>
      <c r="H26" s="23" t="n">
        <v>4.345454545454546</v>
      </c>
      <c r="I26" s="23" t="n">
        <v>4.22</v>
      </c>
    </row>
    <row r="27">
      <c r="A27" s="20" t="n">
        <v>42538</v>
      </c>
      <c r="B27" s="13" t="n">
        <v>2.38</v>
      </c>
      <c r="C27" s="12" t="n">
        <v>55</v>
      </c>
      <c r="D27" s="13" t="n">
        <v>11</v>
      </c>
      <c r="E27" s="13" t="n">
        <v>19.25</v>
      </c>
      <c r="F27" s="12" t="n">
        <v>26</v>
      </c>
      <c r="G27" s="13" t="n">
        <v>8.666666666666668</v>
      </c>
      <c r="H27" s="21" t="n">
        <v>4.327272727272727</v>
      </c>
      <c r="I27" s="21" t="n">
        <v>4.24</v>
      </c>
    </row>
    <row r="28">
      <c r="A28" s="22" t="n">
        <v>42545</v>
      </c>
      <c r="B28" s="17" t="n">
        <v>2.41</v>
      </c>
      <c r="C28" s="16" t="n">
        <v>55</v>
      </c>
      <c r="D28" s="17" t="n">
        <v>11</v>
      </c>
      <c r="E28" s="17" t="n">
        <v>19.25</v>
      </c>
      <c r="F28" s="16" t="n">
        <v>26</v>
      </c>
      <c r="G28" s="17" t="n">
        <v>8.666666666666668</v>
      </c>
      <c r="H28" s="23" t="n">
        <v>4.381818181818182</v>
      </c>
      <c r="I28" s="23" t="n">
        <v>4.25</v>
      </c>
    </row>
    <row r="29">
      <c r="A29" s="20" t="n">
        <v>42552</v>
      </c>
      <c r="B29" s="13" t="n">
        <v>2.51</v>
      </c>
      <c r="C29" s="12" t="n">
        <v>55</v>
      </c>
      <c r="D29" s="13" t="n">
        <v>11</v>
      </c>
      <c r="E29" s="13" t="n">
        <v>19.25</v>
      </c>
      <c r="F29" s="12" t="n">
        <v>26</v>
      </c>
      <c r="G29" s="13" t="n">
        <v>8.666666666666668</v>
      </c>
      <c r="H29" s="21" t="n">
        <v>4.563636363636363</v>
      </c>
      <c r="I29" s="21" t="n">
        <v>4.29</v>
      </c>
    </row>
    <row r="30">
      <c r="A30" s="22" t="n">
        <v>42559</v>
      </c>
      <c r="B30" s="17" t="n">
        <v>2.51</v>
      </c>
      <c r="C30" s="16" t="n">
        <v>55</v>
      </c>
      <c r="D30" s="17" t="n">
        <v>11</v>
      </c>
      <c r="E30" s="17" t="n">
        <v>19.25</v>
      </c>
      <c r="F30" s="16" t="n">
        <v>26</v>
      </c>
      <c r="G30" s="17" t="n">
        <v>8.666666666666668</v>
      </c>
      <c r="H30" s="23" t="n">
        <v>4.563636363636363</v>
      </c>
      <c r="I30" s="23" t="n">
        <v>4.34</v>
      </c>
    </row>
    <row r="31">
      <c r="A31" s="20" t="n">
        <v>42566</v>
      </c>
      <c r="B31" s="13" t="n">
        <v>2.54</v>
      </c>
      <c r="C31" s="12" t="n">
        <v>55</v>
      </c>
      <c r="D31" s="13" t="n">
        <v>11</v>
      </c>
      <c r="E31" s="13" t="n">
        <v>19.25</v>
      </c>
      <c r="F31" s="12" t="n">
        <v>26</v>
      </c>
      <c r="G31" s="13" t="n">
        <v>8.666666666666668</v>
      </c>
      <c r="H31" s="21" t="n">
        <v>4.618181818181818</v>
      </c>
      <c r="I31" s="21" t="n">
        <v>4.37</v>
      </c>
    </row>
    <row r="32">
      <c r="A32" s="22" t="n">
        <v>42573</v>
      </c>
      <c r="B32" s="17" t="n">
        <v>2.56</v>
      </c>
      <c r="C32" s="16" t="n">
        <v>55</v>
      </c>
      <c r="D32" s="17" t="n">
        <v>11</v>
      </c>
      <c r="E32" s="17" t="n">
        <v>19.25</v>
      </c>
      <c r="F32" s="16" t="n">
        <v>26</v>
      </c>
      <c r="G32" s="17" t="n">
        <v>8.666666666666668</v>
      </c>
      <c r="H32" s="23" t="n">
        <v>4.654545454545454</v>
      </c>
      <c r="I32" s="23" t="n">
        <v>4.42</v>
      </c>
    </row>
    <row r="33">
      <c r="A33" s="20" t="n">
        <v>42580</v>
      </c>
      <c r="B33" s="13" t="n">
        <v>2.74</v>
      </c>
      <c r="C33" s="12" t="n">
        <v>55</v>
      </c>
      <c r="D33" s="13" t="n">
        <v>11</v>
      </c>
      <c r="E33" s="13" t="n">
        <v>19.25</v>
      </c>
      <c r="F33" s="12" t="n">
        <v>26</v>
      </c>
      <c r="G33" s="13" t="n">
        <v>8.666666666666668</v>
      </c>
      <c r="H33" s="21" t="n">
        <v>4.981818181818181</v>
      </c>
      <c r="I33" s="21" t="n">
        <v>4.47</v>
      </c>
    </row>
    <row r="34">
      <c r="A34" s="22" t="n">
        <v>42587</v>
      </c>
      <c r="B34" s="17" t="n">
        <v>2.51</v>
      </c>
      <c r="C34" s="16" t="n">
        <v>55</v>
      </c>
      <c r="D34" s="17" t="n">
        <v>11</v>
      </c>
      <c r="E34" s="17" t="n">
        <v>19.25</v>
      </c>
      <c r="F34" s="16" t="n">
        <v>26</v>
      </c>
      <c r="G34" s="17" t="n">
        <v>8.666666666666668</v>
      </c>
      <c r="H34" s="23" t="n">
        <v>4.563636363636363</v>
      </c>
      <c r="I34" s="23" t="n">
        <v>4.5</v>
      </c>
    </row>
    <row r="35">
      <c r="A35" s="20" t="n">
        <v>42594</v>
      </c>
      <c r="B35" s="13" t="n">
        <v>2.51</v>
      </c>
      <c r="C35" s="12" t="n">
        <v>55</v>
      </c>
      <c r="D35" s="13" t="n">
        <v>11</v>
      </c>
      <c r="E35" s="13" t="n">
        <v>19.25</v>
      </c>
      <c r="F35" s="12" t="n">
        <v>26</v>
      </c>
      <c r="G35" s="13" t="n">
        <v>8.666666666666668</v>
      </c>
      <c r="H35" s="21" t="n">
        <v>4.563636363636363</v>
      </c>
      <c r="I35" s="21" t="n">
        <v>4.53</v>
      </c>
    </row>
    <row r="36">
      <c r="A36" s="22" t="n">
        <v>42601</v>
      </c>
      <c r="B36" s="17" t="n">
        <v>2.5</v>
      </c>
      <c r="C36" s="16" t="n">
        <v>62</v>
      </c>
      <c r="D36" s="17" t="n">
        <v>12.4</v>
      </c>
      <c r="E36" s="17" t="n">
        <v>21.7</v>
      </c>
      <c r="F36" s="16" t="n">
        <v>29</v>
      </c>
      <c r="G36" s="17" t="n">
        <v>9.666666666666668</v>
      </c>
      <c r="H36" s="23" t="n">
        <v>4.032258064516129</v>
      </c>
      <c r="I36" s="23" t="n">
        <v>4.51</v>
      </c>
    </row>
    <row r="37">
      <c r="A37" s="20" t="n">
        <v>42608</v>
      </c>
      <c r="B37" s="13" t="n">
        <v>2.66</v>
      </c>
      <c r="C37" s="12" t="n">
        <v>62</v>
      </c>
      <c r="D37" s="13" t="n">
        <v>12.4</v>
      </c>
      <c r="E37" s="13" t="n">
        <v>21.7</v>
      </c>
      <c r="F37" s="12" t="n">
        <v>29</v>
      </c>
      <c r="G37" s="13" t="n">
        <v>9.666666666666668</v>
      </c>
      <c r="H37" s="21" t="n">
        <v>4.290322580645162</v>
      </c>
      <c r="I37" s="21" t="n">
        <v>4.49</v>
      </c>
    </row>
    <row r="38">
      <c r="A38" s="22" t="n">
        <v>42615</v>
      </c>
      <c r="B38" s="17" t="n">
        <v>2.73</v>
      </c>
      <c r="C38" s="16" t="n">
        <v>62</v>
      </c>
      <c r="D38" s="17" t="n">
        <v>12.4</v>
      </c>
      <c r="E38" s="17" t="n">
        <v>21.7</v>
      </c>
      <c r="F38" s="16" t="n">
        <v>29</v>
      </c>
      <c r="G38" s="17" t="n">
        <v>9.666666666666668</v>
      </c>
      <c r="H38" s="23" t="n">
        <v>4.403225806451613</v>
      </c>
      <c r="I38" s="23" t="n">
        <v>4.5</v>
      </c>
    </row>
    <row r="39">
      <c r="A39" s="20" t="n">
        <v>42622</v>
      </c>
      <c r="B39" s="13" t="n">
        <v>2.62</v>
      </c>
      <c r="C39" s="12" t="n">
        <v>62</v>
      </c>
      <c r="D39" s="13" t="n">
        <v>12.4</v>
      </c>
      <c r="E39" s="13" t="n">
        <v>21.7</v>
      </c>
      <c r="F39" s="12" t="n">
        <v>29</v>
      </c>
      <c r="G39" s="13" t="n">
        <v>9.666666666666668</v>
      </c>
      <c r="H39" s="21" t="n">
        <v>4.225806451612903</v>
      </c>
      <c r="I39" s="21" t="n">
        <v>4.49</v>
      </c>
    </row>
    <row r="40">
      <c r="A40" s="22" t="n">
        <v>42629</v>
      </c>
      <c r="B40" s="17" t="n">
        <v>2.57</v>
      </c>
      <c r="C40" s="16" t="n">
        <v>62</v>
      </c>
      <c r="D40" s="17" t="n">
        <v>12.4</v>
      </c>
      <c r="E40" s="17" t="n">
        <v>21.7</v>
      </c>
      <c r="F40" s="16" t="n">
        <v>29</v>
      </c>
      <c r="G40" s="17" t="n">
        <v>9.666666666666668</v>
      </c>
      <c r="H40" s="23" t="n">
        <v>4.14516129032258</v>
      </c>
      <c r="I40" s="23" t="n">
        <v>4.47</v>
      </c>
    </row>
    <row r="41">
      <c r="A41" s="20" t="n">
        <v>42636</v>
      </c>
      <c r="B41" s="13" t="n">
        <v>2.59</v>
      </c>
      <c r="C41" s="12" t="n">
        <v>62</v>
      </c>
      <c r="D41" s="13" t="n">
        <v>12.4</v>
      </c>
      <c r="E41" s="13" t="n">
        <v>21.7</v>
      </c>
      <c r="F41" s="12" t="n">
        <v>29</v>
      </c>
      <c r="G41" s="13" t="n">
        <v>9.666666666666668</v>
      </c>
      <c r="H41" s="21" t="n">
        <v>4.177419354838709</v>
      </c>
      <c r="I41" s="21" t="n">
        <v>4.43</v>
      </c>
    </row>
    <row r="42">
      <c r="A42" s="22" t="n">
        <v>42643</v>
      </c>
      <c r="B42" s="17" t="n">
        <v>2.75</v>
      </c>
      <c r="C42" s="16" t="n">
        <v>62</v>
      </c>
      <c r="D42" s="17" t="n">
        <v>12.4</v>
      </c>
      <c r="E42" s="17" t="n">
        <v>21.7</v>
      </c>
      <c r="F42" s="16" t="n">
        <v>29</v>
      </c>
      <c r="G42" s="17" t="n">
        <v>9.666666666666668</v>
      </c>
      <c r="H42" s="23" t="n">
        <v>4.435483870967742</v>
      </c>
      <c r="I42" s="23" t="n">
        <v>4.42</v>
      </c>
    </row>
    <row r="43">
      <c r="A43" s="20" t="n">
        <v>42650</v>
      </c>
      <c r="B43" s="13" t="n">
        <v>2.78</v>
      </c>
      <c r="C43" s="12" t="n">
        <v>62</v>
      </c>
      <c r="D43" s="13" t="n">
        <v>12.4</v>
      </c>
      <c r="E43" s="13" t="n">
        <v>21.7</v>
      </c>
      <c r="F43" s="12" t="n">
        <v>29</v>
      </c>
      <c r="G43" s="13" t="n">
        <v>9.666666666666668</v>
      </c>
      <c r="H43" s="21" t="n">
        <v>4.483870967741935</v>
      </c>
      <c r="I43" s="21" t="n">
        <v>4.41</v>
      </c>
    </row>
    <row r="44">
      <c r="A44" s="22" t="n">
        <v>42657</v>
      </c>
      <c r="B44" s="17" t="n">
        <v>2.78</v>
      </c>
      <c r="C44" s="16" t="n">
        <v>62</v>
      </c>
      <c r="D44" s="17" t="n">
        <v>12.4</v>
      </c>
      <c r="E44" s="17" t="n">
        <v>21.7</v>
      </c>
      <c r="F44" s="16" t="n">
        <v>29</v>
      </c>
      <c r="G44" s="17" t="n">
        <v>9.666666666666668</v>
      </c>
      <c r="H44" s="23" t="n">
        <v>4.483870967741935</v>
      </c>
      <c r="I44" s="23" t="n">
        <v>4.4</v>
      </c>
    </row>
    <row r="45">
      <c r="A45" s="20" t="n">
        <v>42664</v>
      </c>
      <c r="B45" s="13" t="n">
        <v>2.67</v>
      </c>
      <c r="C45" s="12" t="n">
        <v>62</v>
      </c>
      <c r="D45" s="13" t="n">
        <v>12.4</v>
      </c>
      <c r="E45" s="13" t="n">
        <v>21.7</v>
      </c>
      <c r="F45" s="12" t="n">
        <v>29</v>
      </c>
      <c r="G45" s="13" t="n">
        <v>9.666666666666668</v>
      </c>
      <c r="H45" s="21" t="n">
        <v>4.306451612903226</v>
      </c>
      <c r="I45" s="21" t="n">
        <v>4.34</v>
      </c>
    </row>
    <row r="46">
      <c r="A46" s="22" t="n">
        <v>42671</v>
      </c>
      <c r="B46" s="17" t="n">
        <v>2.78</v>
      </c>
      <c r="C46" s="16" t="n">
        <v>62</v>
      </c>
      <c r="D46" s="17" t="n">
        <v>12.4</v>
      </c>
      <c r="E46" s="17" t="n">
        <v>21.7</v>
      </c>
      <c r="F46" s="16" t="n">
        <v>29</v>
      </c>
      <c r="G46" s="17" t="n">
        <v>9.666666666666668</v>
      </c>
      <c r="H46" s="23" t="n">
        <v>4.483870967741935</v>
      </c>
      <c r="I46" s="23" t="n">
        <v>4.34</v>
      </c>
    </row>
    <row r="47">
      <c r="A47" s="20" t="n">
        <v>42678</v>
      </c>
      <c r="B47" s="13" t="n">
        <v>2.79</v>
      </c>
      <c r="C47" s="12" t="n">
        <v>62</v>
      </c>
      <c r="D47" s="13" t="n">
        <v>12.4</v>
      </c>
      <c r="E47" s="13" t="n">
        <v>21.7</v>
      </c>
      <c r="F47" s="12" t="n">
        <v>29</v>
      </c>
      <c r="G47" s="13" t="n">
        <v>9.666666666666668</v>
      </c>
      <c r="H47" s="21" t="n">
        <v>4.5</v>
      </c>
      <c r="I47" s="21" t="n">
        <v>4.33</v>
      </c>
    </row>
    <row r="48">
      <c r="A48" s="22" t="n">
        <v>42685</v>
      </c>
      <c r="B48" s="17" t="n">
        <v>2.81</v>
      </c>
      <c r="C48" s="16" t="n">
        <v>62</v>
      </c>
      <c r="D48" s="17" t="n">
        <v>12.4</v>
      </c>
      <c r="E48" s="17" t="n">
        <v>21.7</v>
      </c>
      <c r="F48" s="16" t="n">
        <v>29</v>
      </c>
      <c r="G48" s="17" t="n">
        <v>9.666666666666668</v>
      </c>
      <c r="H48" s="23" t="n">
        <v>4.532258064516129</v>
      </c>
      <c r="I48" s="23" t="n">
        <v>4.37</v>
      </c>
    </row>
    <row r="49">
      <c r="A49" s="20" t="n">
        <v>42692</v>
      </c>
      <c r="B49" s="13" t="n">
        <v>2.9</v>
      </c>
      <c r="C49" s="12" t="n">
        <v>62</v>
      </c>
      <c r="D49" s="13" t="n">
        <v>12.4</v>
      </c>
      <c r="E49" s="13" t="n">
        <v>21.7</v>
      </c>
      <c r="F49" s="12" t="n">
        <v>29</v>
      </c>
      <c r="G49" s="13" t="n">
        <v>9.666666666666668</v>
      </c>
      <c r="H49" s="21" t="n">
        <v>4.67741935483871</v>
      </c>
      <c r="I49" s="21" t="n">
        <v>4.4</v>
      </c>
    </row>
    <row r="50">
      <c r="A50" s="22" t="n">
        <v>42699</v>
      </c>
      <c r="B50" s="17" t="n">
        <v>2.85</v>
      </c>
      <c r="C50" s="16" t="n">
        <v>62</v>
      </c>
      <c r="D50" s="17" t="n">
        <v>12.4</v>
      </c>
      <c r="E50" s="17" t="n">
        <v>21.7</v>
      </c>
      <c r="F50" s="16" t="n">
        <v>29</v>
      </c>
      <c r="G50" s="17" t="n">
        <v>9.666666666666668</v>
      </c>
      <c r="H50" s="23" t="n">
        <v>4.596774193548387</v>
      </c>
      <c r="I50" s="23" t="n">
        <v>4.42</v>
      </c>
    </row>
    <row r="51">
      <c r="A51" s="20" t="n">
        <v>42706</v>
      </c>
      <c r="B51" s="13" t="n">
        <v>2.91</v>
      </c>
      <c r="C51" s="12" t="n">
        <v>62</v>
      </c>
      <c r="D51" s="13" t="n">
        <v>12.4</v>
      </c>
      <c r="E51" s="13" t="n">
        <v>21.7</v>
      </c>
      <c r="F51" s="12" t="n">
        <v>29</v>
      </c>
      <c r="G51" s="13" t="n">
        <v>9.666666666666668</v>
      </c>
      <c r="H51" s="21" t="n">
        <v>4.693548387096774</v>
      </c>
      <c r="I51" s="21" t="n">
        <v>4.46</v>
      </c>
    </row>
    <row r="52">
      <c r="A52" s="22" t="n">
        <v>42713</v>
      </c>
      <c r="B52" s="17" t="n">
        <v>2.87</v>
      </c>
      <c r="C52" s="16" t="n">
        <v>62</v>
      </c>
      <c r="D52" s="17" t="n">
        <v>12.4</v>
      </c>
      <c r="E52" s="17" t="n">
        <v>21.7</v>
      </c>
      <c r="F52" s="16" t="n">
        <v>29</v>
      </c>
      <c r="G52" s="17" t="n">
        <v>9.666666666666668</v>
      </c>
      <c r="H52" s="23" t="n">
        <v>4.629032258064516</v>
      </c>
      <c r="I52" s="23" t="n">
        <v>4.5</v>
      </c>
    </row>
    <row r="53">
      <c r="A53" s="20" t="n">
        <v>42720</v>
      </c>
      <c r="B53" s="13" t="n">
        <v>2.91</v>
      </c>
      <c r="C53" s="12" t="n">
        <v>62</v>
      </c>
      <c r="D53" s="13" t="n">
        <v>12.4</v>
      </c>
      <c r="E53" s="13" t="n">
        <v>21.7</v>
      </c>
      <c r="F53" s="12" t="n">
        <v>29</v>
      </c>
      <c r="G53" s="13" t="n">
        <v>9.666666666666668</v>
      </c>
      <c r="H53" s="21" t="n">
        <v>4.693548387096774</v>
      </c>
      <c r="I53" s="21" t="n">
        <v>4.54</v>
      </c>
    </row>
    <row r="54">
      <c r="A54" s="22" t="n">
        <v>42727</v>
      </c>
      <c r="B54" s="17" t="n">
        <v>2.96</v>
      </c>
      <c r="C54" s="16" t="n">
        <v>62</v>
      </c>
      <c r="D54" s="17" t="n">
        <v>12.4</v>
      </c>
      <c r="E54" s="17" t="n">
        <v>21.7</v>
      </c>
      <c r="F54" s="16" t="n">
        <v>29</v>
      </c>
      <c r="G54" s="17" t="n">
        <v>9.666666666666668</v>
      </c>
      <c r="H54" s="23" t="n">
        <v>4.774193548387097</v>
      </c>
      <c r="I54" s="23" t="n">
        <v>4.57</v>
      </c>
    </row>
    <row r="55">
      <c r="A55" s="20" t="n">
        <v>42734</v>
      </c>
      <c r="B55" s="13" t="n">
        <v>2.76</v>
      </c>
      <c r="C55" s="12" t="n">
        <v>62</v>
      </c>
      <c r="D55" s="13" t="n">
        <v>12.4</v>
      </c>
      <c r="E55" s="13" t="n">
        <v>21.7</v>
      </c>
      <c r="F55" s="12" t="n">
        <v>29</v>
      </c>
      <c r="G55" s="13" t="n">
        <v>9.666666666666668</v>
      </c>
      <c r="H55" s="21" t="n">
        <v>4.451612903225806</v>
      </c>
      <c r="I55" s="21" t="n">
        <v>4.57</v>
      </c>
    </row>
    <row r="56">
      <c r="A56" s="22" t="n">
        <v>42741</v>
      </c>
      <c r="B56" s="17" t="n">
        <v>2.9</v>
      </c>
      <c r="C56" s="16" t="n">
        <v>62</v>
      </c>
      <c r="D56" s="17" t="n">
        <v>12.4</v>
      </c>
      <c r="E56" s="17" t="n">
        <v>21.7</v>
      </c>
      <c r="F56" s="16" t="n">
        <v>29</v>
      </c>
      <c r="G56" s="17" t="n">
        <v>9.666666666666668</v>
      </c>
      <c r="H56" s="23" t="n">
        <v>4.67741935483871</v>
      </c>
      <c r="I56" s="23" t="n">
        <v>4.58</v>
      </c>
    </row>
    <row r="57">
      <c r="A57" s="20" t="n">
        <v>42748</v>
      </c>
      <c r="B57" s="13" t="n">
        <v>2.9</v>
      </c>
      <c r="C57" s="12" t="n">
        <v>62</v>
      </c>
      <c r="D57" s="13" t="n">
        <v>12.4</v>
      </c>
      <c r="E57" s="13" t="n">
        <v>21.7</v>
      </c>
      <c r="F57" s="12" t="n">
        <v>29</v>
      </c>
      <c r="G57" s="13" t="n">
        <v>9.666666666666668</v>
      </c>
      <c r="H57" s="21" t="n">
        <v>4.67741935483871</v>
      </c>
      <c r="I57" s="21" t="n">
        <v>4.62</v>
      </c>
    </row>
    <row r="58">
      <c r="A58" s="22" t="n">
        <v>42755</v>
      </c>
      <c r="B58" s="17" t="n">
        <v>2.9</v>
      </c>
      <c r="C58" s="16" t="n">
        <v>62</v>
      </c>
      <c r="D58" s="17" t="n">
        <v>12.4</v>
      </c>
      <c r="E58" s="17" t="n">
        <v>21.7</v>
      </c>
      <c r="F58" s="16" t="n">
        <v>29</v>
      </c>
      <c r="G58" s="17" t="n">
        <v>9.666666666666668</v>
      </c>
      <c r="H58" s="23" t="n">
        <v>4.67741935483871</v>
      </c>
      <c r="I58" s="23" t="n">
        <v>4.63</v>
      </c>
    </row>
    <row r="59">
      <c r="A59" s="20" t="n">
        <v>42762</v>
      </c>
      <c r="B59" s="13" t="n">
        <v>2.95</v>
      </c>
      <c r="C59" s="12" t="n">
        <v>62</v>
      </c>
      <c r="D59" s="13" t="n">
        <v>12.4</v>
      </c>
      <c r="E59" s="13" t="n">
        <v>21.7</v>
      </c>
      <c r="F59" s="12" t="n">
        <v>29</v>
      </c>
      <c r="G59" s="13" t="n">
        <v>9.666666666666668</v>
      </c>
      <c r="H59" s="21" t="n">
        <v>4.758064516129033</v>
      </c>
      <c r="I59" s="21" t="n">
        <v>4.65</v>
      </c>
    </row>
    <row r="60">
      <c r="A60" s="22" t="n">
        <v>42769</v>
      </c>
      <c r="B60" s="17" t="n">
        <v>3.14</v>
      </c>
      <c r="C60" s="16" t="n">
        <v>62</v>
      </c>
      <c r="D60" s="17" t="n">
        <v>12.4</v>
      </c>
      <c r="E60" s="17" t="n">
        <v>21.7</v>
      </c>
      <c r="F60" s="16" t="n">
        <v>29</v>
      </c>
      <c r="G60" s="17" t="n">
        <v>9.666666666666668</v>
      </c>
      <c r="H60" s="23" t="n">
        <v>5.064516129032258</v>
      </c>
      <c r="I60" s="23" t="n">
        <v>4.7</v>
      </c>
    </row>
    <row r="61">
      <c r="A61" s="20" t="n">
        <v>42776</v>
      </c>
      <c r="B61" s="13" t="n">
        <v>2.92</v>
      </c>
      <c r="C61" s="12" t="n">
        <v>62</v>
      </c>
      <c r="D61" s="13" t="n">
        <v>12.4</v>
      </c>
      <c r="E61" s="13" t="n">
        <v>21.7</v>
      </c>
      <c r="F61" s="12" t="n">
        <v>29</v>
      </c>
      <c r="G61" s="13" t="n">
        <v>9.666666666666668</v>
      </c>
      <c r="H61" s="21" t="n">
        <v>4.709677419354839</v>
      </c>
      <c r="I61" s="21" t="n">
        <v>4.7</v>
      </c>
    </row>
    <row r="62">
      <c r="A62" s="22" t="n">
        <v>42783</v>
      </c>
      <c r="B62" s="17" t="n">
        <v>3.12</v>
      </c>
      <c r="C62" s="16" t="n">
        <v>65</v>
      </c>
      <c r="D62" s="17" t="n">
        <v>13</v>
      </c>
      <c r="E62" s="17" t="n">
        <v>22.75</v>
      </c>
      <c r="F62" s="16" t="n">
        <v>30.5</v>
      </c>
      <c r="G62" s="17" t="n">
        <v>10.16666666666667</v>
      </c>
      <c r="H62" s="23" t="n">
        <v>4.8</v>
      </c>
      <c r="I62" s="23" t="n">
        <v>4.72</v>
      </c>
    </row>
    <row r="63">
      <c r="A63" s="20" t="n">
        <v>42790</v>
      </c>
      <c r="B63" s="13" t="n">
        <v>2.88</v>
      </c>
      <c r="C63" s="12" t="n">
        <v>65</v>
      </c>
      <c r="D63" s="13" t="n">
        <v>13</v>
      </c>
      <c r="E63" s="13" t="n">
        <v>22.75</v>
      </c>
      <c r="F63" s="12" t="n">
        <v>30.5</v>
      </c>
      <c r="G63" s="13" t="n">
        <v>10.16666666666667</v>
      </c>
      <c r="H63" s="21" t="n">
        <v>4.43076923076923</v>
      </c>
      <c r="I63" s="21" t="n">
        <v>4.7</v>
      </c>
    </row>
    <row r="64">
      <c r="A64" s="22" t="n">
        <v>42797</v>
      </c>
      <c r="B64" s="17" t="n">
        <v>3.03</v>
      </c>
      <c r="C64" s="16" t="n">
        <v>65</v>
      </c>
      <c r="D64" s="17" t="n">
        <v>13</v>
      </c>
      <c r="E64" s="17" t="n">
        <v>22.75</v>
      </c>
      <c r="F64" s="16" t="n">
        <v>30.5</v>
      </c>
      <c r="G64" s="17" t="n">
        <v>10.16666666666667</v>
      </c>
      <c r="H64" s="23" t="n">
        <v>4.661538461538461</v>
      </c>
      <c r="I64" s="23" t="n">
        <v>4.7</v>
      </c>
    </row>
    <row r="65">
      <c r="A65" s="20" t="n">
        <v>42804</v>
      </c>
      <c r="B65" s="13" t="n">
        <v>3.09</v>
      </c>
      <c r="C65" s="12" t="n">
        <v>65</v>
      </c>
      <c r="D65" s="13" t="n">
        <v>13</v>
      </c>
      <c r="E65" s="13" t="n">
        <v>22.75</v>
      </c>
      <c r="F65" s="12" t="n">
        <v>30.5</v>
      </c>
      <c r="G65" s="13" t="n">
        <v>10.16666666666667</v>
      </c>
      <c r="H65" s="21" t="n">
        <v>4.753846153846154</v>
      </c>
      <c r="I65" s="21" t="n">
        <v>4.7</v>
      </c>
    </row>
    <row r="66">
      <c r="A66" s="22" t="n">
        <v>42811</v>
      </c>
      <c r="B66" s="17" t="n">
        <v>3.15</v>
      </c>
      <c r="C66" s="16" t="n">
        <v>65</v>
      </c>
      <c r="D66" s="17" t="n">
        <v>13</v>
      </c>
      <c r="E66" s="17" t="n">
        <v>22.75</v>
      </c>
      <c r="F66" s="16" t="n">
        <v>30.5</v>
      </c>
      <c r="G66" s="17" t="n">
        <v>10.16666666666667</v>
      </c>
      <c r="H66" s="23" t="n">
        <v>4.846153846153846</v>
      </c>
      <c r="I66" s="23" t="n">
        <v>4.71</v>
      </c>
    </row>
    <row r="67">
      <c r="A67" s="20" t="n">
        <v>42818</v>
      </c>
      <c r="B67" s="13" t="n">
        <v>3.18</v>
      </c>
      <c r="C67" s="12" t="n">
        <v>65</v>
      </c>
      <c r="D67" s="13" t="n">
        <v>13</v>
      </c>
      <c r="E67" s="13" t="n">
        <v>22.75</v>
      </c>
      <c r="F67" s="12" t="n">
        <v>30.5</v>
      </c>
      <c r="G67" s="13" t="n">
        <v>10.16666666666667</v>
      </c>
      <c r="H67" s="21" t="n">
        <v>4.892307692307693</v>
      </c>
      <c r="I67" s="21" t="n">
        <v>4.75</v>
      </c>
    </row>
    <row r="68">
      <c r="A68" s="22" t="n">
        <v>42825</v>
      </c>
      <c r="B68" s="17" t="n">
        <v>3.21</v>
      </c>
      <c r="C68" s="16" t="n">
        <v>65</v>
      </c>
      <c r="D68" s="17" t="n">
        <v>13</v>
      </c>
      <c r="E68" s="17" t="n">
        <v>22.75</v>
      </c>
      <c r="F68" s="16" t="n">
        <v>30.5</v>
      </c>
      <c r="G68" s="17" t="n">
        <v>10.16666666666667</v>
      </c>
      <c r="H68" s="23" t="n">
        <v>4.938461538461539</v>
      </c>
      <c r="I68" s="23" t="n">
        <v>4.77</v>
      </c>
    </row>
    <row r="69">
      <c r="A69" s="20" t="n">
        <v>42832</v>
      </c>
      <c r="B69" s="13" t="n">
        <v>3.11</v>
      </c>
      <c r="C69" s="12" t="n">
        <v>65</v>
      </c>
      <c r="D69" s="13" t="n">
        <v>13</v>
      </c>
      <c r="E69" s="13" t="n">
        <v>22.75</v>
      </c>
      <c r="F69" s="12" t="n">
        <v>30.5</v>
      </c>
      <c r="G69" s="13" t="n">
        <v>10.16666666666667</v>
      </c>
      <c r="H69" s="21" t="n">
        <v>4.784615384615384</v>
      </c>
      <c r="I69" s="21" t="n">
        <v>4.78</v>
      </c>
    </row>
    <row r="70">
      <c r="A70" s="22" t="n">
        <v>42839</v>
      </c>
      <c r="B70" s="17" t="n">
        <v>3.11</v>
      </c>
      <c r="C70" s="16" t="n">
        <v>65</v>
      </c>
      <c r="D70" s="17" t="n">
        <v>13</v>
      </c>
      <c r="E70" s="17" t="n">
        <v>22.75</v>
      </c>
      <c r="F70" s="16" t="n">
        <v>30.5</v>
      </c>
      <c r="G70" s="17" t="n">
        <v>10.16666666666667</v>
      </c>
      <c r="H70" s="23" t="n">
        <v>4.784615384615384</v>
      </c>
      <c r="I70" s="23" t="n">
        <v>4.79</v>
      </c>
    </row>
    <row r="71">
      <c r="A71" s="20" t="n">
        <v>42846</v>
      </c>
      <c r="B71" s="13" t="n">
        <v>3.26</v>
      </c>
      <c r="C71" s="12" t="n">
        <v>65</v>
      </c>
      <c r="D71" s="13" t="n">
        <v>13</v>
      </c>
      <c r="E71" s="13" t="n">
        <v>22.75</v>
      </c>
      <c r="F71" s="12" t="n">
        <v>30.5</v>
      </c>
      <c r="G71" s="13" t="n">
        <v>10.16666666666667</v>
      </c>
      <c r="H71" s="21" t="n">
        <v>5.015384615384614</v>
      </c>
      <c r="I71" s="21" t="n">
        <v>4.81</v>
      </c>
    </row>
    <row r="72">
      <c r="A72" s="22" t="n">
        <v>42853</v>
      </c>
      <c r="B72" s="17" t="n">
        <v>3.17</v>
      </c>
      <c r="C72" s="16" t="n">
        <v>65</v>
      </c>
      <c r="D72" s="17" t="n">
        <v>13</v>
      </c>
      <c r="E72" s="17" t="n">
        <v>22.75</v>
      </c>
      <c r="F72" s="16" t="n">
        <v>30.5</v>
      </c>
      <c r="G72" s="17" t="n">
        <v>10.16666666666667</v>
      </c>
      <c r="H72" s="23" t="n">
        <v>4.876923076923076</v>
      </c>
      <c r="I72" s="23" t="n">
        <v>4.79</v>
      </c>
    </row>
    <row r="73">
      <c r="A73" s="20" t="n">
        <v>42860</v>
      </c>
      <c r="B73" s="13" t="n">
        <v>3.08</v>
      </c>
      <c r="C73" s="12" t="n">
        <v>65</v>
      </c>
      <c r="D73" s="13" t="n">
        <v>13</v>
      </c>
      <c r="E73" s="13" t="n">
        <v>22.75</v>
      </c>
      <c r="F73" s="12" t="n">
        <v>30.5</v>
      </c>
      <c r="G73" s="13" t="n">
        <v>10.16666666666667</v>
      </c>
      <c r="H73" s="21" t="n">
        <v>4.738461538461539</v>
      </c>
      <c r="I73" s="21" t="n">
        <v>4.79</v>
      </c>
    </row>
    <row r="74">
      <c r="A74" s="22" t="n">
        <v>42867</v>
      </c>
      <c r="B74" s="17" t="n">
        <v>3.11</v>
      </c>
      <c r="C74" s="16" t="n">
        <v>65</v>
      </c>
      <c r="D74" s="17" t="n">
        <v>13</v>
      </c>
      <c r="E74" s="17" t="n">
        <v>22.75</v>
      </c>
      <c r="F74" s="16" t="n">
        <v>30.5</v>
      </c>
      <c r="G74" s="17" t="n">
        <v>10.16666666666667</v>
      </c>
      <c r="H74" s="23" t="n">
        <v>4.784615384615384</v>
      </c>
      <c r="I74" s="23" t="n">
        <v>4.79</v>
      </c>
    </row>
    <row r="75">
      <c r="A75" s="20" t="n">
        <v>42874</v>
      </c>
      <c r="B75" s="13" t="n">
        <v>3.15</v>
      </c>
      <c r="C75" s="12" t="n">
        <v>65</v>
      </c>
      <c r="D75" s="13" t="n">
        <v>13</v>
      </c>
      <c r="E75" s="13" t="n">
        <v>22.75</v>
      </c>
      <c r="F75" s="12" t="n">
        <v>30.5</v>
      </c>
      <c r="G75" s="13" t="n">
        <v>10.16666666666667</v>
      </c>
      <c r="H75" s="21" t="n">
        <v>4.846153846153846</v>
      </c>
      <c r="I75" s="21" t="n">
        <v>4.83</v>
      </c>
    </row>
    <row r="76">
      <c r="A76" s="22" t="n">
        <v>42881</v>
      </c>
      <c r="B76" s="17" t="n">
        <v>3.31</v>
      </c>
      <c r="C76" s="16" t="n">
        <v>65</v>
      </c>
      <c r="D76" s="17" t="n">
        <v>13</v>
      </c>
      <c r="E76" s="17" t="n">
        <v>22.75</v>
      </c>
      <c r="F76" s="16" t="n">
        <v>30.5</v>
      </c>
      <c r="G76" s="17" t="n">
        <v>10.16666666666667</v>
      </c>
      <c r="H76" s="23" t="n">
        <v>5.092307692307692</v>
      </c>
      <c r="I76" s="23" t="n">
        <v>4.86</v>
      </c>
    </row>
    <row r="77">
      <c r="A77" s="20" t="n">
        <v>42888</v>
      </c>
      <c r="B77" s="13" t="n">
        <v>3.29</v>
      </c>
      <c r="C77" s="12" t="n">
        <v>65</v>
      </c>
      <c r="D77" s="13" t="n">
        <v>13</v>
      </c>
      <c r="E77" s="13" t="n">
        <v>22.75</v>
      </c>
      <c r="F77" s="12" t="n">
        <v>30.5</v>
      </c>
      <c r="G77" s="13" t="n">
        <v>10.16666666666667</v>
      </c>
      <c r="H77" s="21" t="n">
        <v>5.061538461538461</v>
      </c>
      <c r="I77" s="21" t="n">
        <v>4.89</v>
      </c>
    </row>
    <row r="78">
      <c r="A78" s="22" t="n">
        <v>42895</v>
      </c>
      <c r="B78" s="17" t="n">
        <v>3.36</v>
      </c>
      <c r="C78" s="16" t="n">
        <v>65</v>
      </c>
      <c r="D78" s="17" t="n">
        <v>13</v>
      </c>
      <c r="E78" s="17" t="n">
        <v>22.75</v>
      </c>
      <c r="F78" s="16" t="n">
        <v>30.5</v>
      </c>
      <c r="G78" s="17" t="n">
        <v>10.16666666666667</v>
      </c>
      <c r="H78" s="23" t="n">
        <v>5.169230769230769</v>
      </c>
      <c r="I78" s="23" t="n">
        <v>4.92</v>
      </c>
    </row>
    <row r="79">
      <c r="A79" s="20" t="n">
        <v>42902</v>
      </c>
      <c r="B79" s="13" t="n">
        <v>3.26</v>
      </c>
      <c r="C79" s="12" t="n">
        <v>65</v>
      </c>
      <c r="D79" s="13" t="n">
        <v>13</v>
      </c>
      <c r="E79" s="13" t="n">
        <v>22.75</v>
      </c>
      <c r="F79" s="12" t="n">
        <v>30.5</v>
      </c>
      <c r="G79" s="13" t="n">
        <v>10.16666666666667</v>
      </c>
      <c r="H79" s="21" t="n">
        <v>5.015384615384614</v>
      </c>
      <c r="I79" s="21" t="n">
        <v>4.93</v>
      </c>
    </row>
    <row r="80">
      <c r="A80" s="22" t="n">
        <v>42909</v>
      </c>
      <c r="B80" s="17" t="n">
        <v>3.34</v>
      </c>
      <c r="C80" s="16" t="n">
        <v>65</v>
      </c>
      <c r="D80" s="17" t="n">
        <v>13</v>
      </c>
      <c r="E80" s="17" t="n">
        <v>22.75</v>
      </c>
      <c r="F80" s="16" t="n">
        <v>30.5</v>
      </c>
      <c r="G80" s="17" t="n">
        <v>10.16666666666667</v>
      </c>
      <c r="H80" s="23" t="n">
        <v>5.138461538461538</v>
      </c>
      <c r="I80" s="23" t="n">
        <v>4.94</v>
      </c>
    </row>
    <row r="81">
      <c r="A81" s="20" t="n">
        <v>42916</v>
      </c>
      <c r="B81" s="13" t="n">
        <v>3.4</v>
      </c>
      <c r="C81" s="12" t="n">
        <v>65</v>
      </c>
      <c r="D81" s="13" t="n">
        <v>13</v>
      </c>
      <c r="E81" s="13" t="n">
        <v>22.75</v>
      </c>
      <c r="F81" s="12" t="n">
        <v>30.5</v>
      </c>
      <c r="G81" s="13" t="n">
        <v>10.16666666666667</v>
      </c>
      <c r="H81" s="21" t="n">
        <v>5.230769230769231</v>
      </c>
      <c r="I81" s="21" t="n">
        <v>4.98</v>
      </c>
    </row>
    <row r="82">
      <c r="A82" s="22" t="n">
        <v>42923</v>
      </c>
      <c r="B82" s="17" t="n">
        <v>3.32</v>
      </c>
      <c r="C82" s="16" t="n">
        <v>65</v>
      </c>
      <c r="D82" s="17" t="n">
        <v>13</v>
      </c>
      <c r="E82" s="17" t="n">
        <v>22.75</v>
      </c>
      <c r="F82" s="16" t="n">
        <v>30.5</v>
      </c>
      <c r="G82" s="17" t="n">
        <v>10.16666666666667</v>
      </c>
      <c r="H82" s="23" t="n">
        <v>5.107692307692307</v>
      </c>
      <c r="I82" s="23" t="n">
        <v>5.01</v>
      </c>
    </row>
    <row r="83">
      <c r="A83" s="20" t="n">
        <v>42930</v>
      </c>
      <c r="B83" s="13" t="n">
        <v>3.42</v>
      </c>
      <c r="C83" s="12" t="n">
        <v>65</v>
      </c>
      <c r="D83" s="13" t="n">
        <v>13</v>
      </c>
      <c r="E83" s="13" t="n">
        <v>22.75</v>
      </c>
      <c r="F83" s="12" t="n">
        <v>30.5</v>
      </c>
      <c r="G83" s="13" t="n">
        <v>10.16666666666667</v>
      </c>
      <c r="H83" s="21" t="n">
        <v>5.261538461538461</v>
      </c>
      <c r="I83" s="21" t="n">
        <v>5.03</v>
      </c>
    </row>
    <row r="84">
      <c r="A84" s="22" t="n">
        <v>42937</v>
      </c>
      <c r="B84" s="17" t="n">
        <v>3.32</v>
      </c>
      <c r="C84" s="16" t="n">
        <v>65</v>
      </c>
      <c r="D84" s="17" t="n">
        <v>13</v>
      </c>
      <c r="E84" s="17" t="n">
        <v>22.75</v>
      </c>
      <c r="F84" s="16" t="n">
        <v>30.5</v>
      </c>
      <c r="G84" s="17" t="n">
        <v>10.16666666666667</v>
      </c>
      <c r="H84" s="23" t="n">
        <v>5.107692307692307</v>
      </c>
      <c r="I84" s="23" t="n">
        <v>5.05</v>
      </c>
    </row>
    <row r="85">
      <c r="A85" s="20" t="n">
        <v>42944</v>
      </c>
      <c r="B85" s="13" t="n">
        <v>3.37</v>
      </c>
      <c r="C85" s="12" t="n">
        <v>65</v>
      </c>
      <c r="D85" s="13" t="n">
        <v>13</v>
      </c>
      <c r="E85" s="13" t="n">
        <v>22.75</v>
      </c>
      <c r="F85" s="12" t="n">
        <v>30.5</v>
      </c>
      <c r="G85" s="13" t="n">
        <v>10.16666666666667</v>
      </c>
      <c r="H85" s="21" t="n">
        <v>5.184615384615385</v>
      </c>
      <c r="I85" s="21" t="n">
        <v>5.08</v>
      </c>
    </row>
    <row r="86">
      <c r="A86" s="22" t="n">
        <v>42951</v>
      </c>
      <c r="B86" s="17" t="n">
        <v>3.38</v>
      </c>
      <c r="C86" s="16" t="n">
        <v>65</v>
      </c>
      <c r="D86" s="17" t="n">
        <v>13</v>
      </c>
      <c r="E86" s="17" t="n">
        <v>22.75</v>
      </c>
      <c r="F86" s="16" t="n">
        <v>30.5</v>
      </c>
      <c r="G86" s="17" t="n">
        <v>10.16666666666667</v>
      </c>
      <c r="H86" s="23" t="n">
        <v>5.199999999999999</v>
      </c>
      <c r="I86" s="23" t="n">
        <v>5.12</v>
      </c>
    </row>
    <row r="87">
      <c r="A87" s="20" t="n">
        <v>42958</v>
      </c>
      <c r="B87" s="13" t="n">
        <v>3.31</v>
      </c>
      <c r="C87" s="12" t="n">
        <v>65</v>
      </c>
      <c r="D87" s="13" t="n">
        <v>13</v>
      </c>
      <c r="E87" s="13" t="n">
        <v>22.75</v>
      </c>
      <c r="F87" s="12" t="n">
        <v>30.5</v>
      </c>
      <c r="G87" s="13" t="n">
        <v>10.16666666666667</v>
      </c>
      <c r="H87" s="21" t="n">
        <v>5.092307692307692</v>
      </c>
      <c r="I87" s="21" t="n">
        <v>5.14</v>
      </c>
    </row>
    <row r="88">
      <c r="A88" s="22" t="n">
        <v>42965</v>
      </c>
      <c r="B88" s="17" t="n">
        <v>3.5</v>
      </c>
      <c r="C88" s="16" t="n">
        <v>73</v>
      </c>
      <c r="D88" s="17" t="n">
        <v>14.6</v>
      </c>
      <c r="E88" s="17" t="n">
        <v>25.55</v>
      </c>
      <c r="F88" s="16" t="n">
        <v>34</v>
      </c>
      <c r="G88" s="17" t="n">
        <v>11.33333333333334</v>
      </c>
      <c r="H88" s="23" t="n">
        <v>4.794520547945206</v>
      </c>
      <c r="I88" s="23" t="n">
        <v>5.11</v>
      </c>
    </row>
    <row r="89">
      <c r="A89" s="20" t="n">
        <v>42972</v>
      </c>
      <c r="B89" s="13" t="n">
        <v>3.42</v>
      </c>
      <c r="C89" s="12" t="n">
        <v>73</v>
      </c>
      <c r="D89" s="13" t="n">
        <v>14.6</v>
      </c>
      <c r="E89" s="13" t="n">
        <v>25.55</v>
      </c>
      <c r="F89" s="12" t="n">
        <v>34</v>
      </c>
      <c r="G89" s="13" t="n">
        <v>11.33333333333334</v>
      </c>
      <c r="H89" s="21" t="n">
        <v>4.684931506849315</v>
      </c>
      <c r="I89" s="21" t="n">
        <v>5.08</v>
      </c>
    </row>
    <row r="90">
      <c r="A90" s="22" t="n">
        <v>42979</v>
      </c>
      <c r="B90" s="17" t="n">
        <v>3.48</v>
      </c>
      <c r="C90" s="16" t="n">
        <v>73</v>
      </c>
      <c r="D90" s="17" t="n">
        <v>14.6</v>
      </c>
      <c r="E90" s="17" t="n">
        <v>25.55</v>
      </c>
      <c r="F90" s="16" t="n">
        <v>34</v>
      </c>
      <c r="G90" s="17" t="n">
        <v>11.33333333333334</v>
      </c>
      <c r="H90" s="23" t="n">
        <v>4.767123287671233</v>
      </c>
      <c r="I90" s="23" t="n">
        <v>5.05</v>
      </c>
    </row>
    <row r="91">
      <c r="A91" s="20" t="n">
        <v>42986</v>
      </c>
      <c r="B91" s="13" t="n">
        <v>3.54</v>
      </c>
      <c r="C91" s="12" t="n">
        <v>73</v>
      </c>
      <c r="D91" s="13" t="n">
        <v>14.6</v>
      </c>
      <c r="E91" s="13" t="n">
        <v>25.55</v>
      </c>
      <c r="F91" s="12" t="n">
        <v>34</v>
      </c>
      <c r="G91" s="13" t="n">
        <v>11.33333333333334</v>
      </c>
      <c r="H91" s="21" t="n">
        <v>4.849315068493151</v>
      </c>
      <c r="I91" s="21" t="n">
        <v>5.03</v>
      </c>
    </row>
    <row r="92">
      <c r="A92" s="22" t="n">
        <v>42993</v>
      </c>
      <c r="B92" s="17" t="n">
        <v>3.55</v>
      </c>
      <c r="C92" s="16" t="n">
        <v>73</v>
      </c>
      <c r="D92" s="17" t="n">
        <v>14.6</v>
      </c>
      <c r="E92" s="17" t="n">
        <v>25.55</v>
      </c>
      <c r="F92" s="16" t="n">
        <v>34</v>
      </c>
      <c r="G92" s="17" t="n">
        <v>11.33333333333334</v>
      </c>
      <c r="H92" s="23" t="n">
        <v>4.863013698630136</v>
      </c>
      <c r="I92" s="23" t="n">
        <v>5.01</v>
      </c>
    </row>
    <row r="93">
      <c r="A93" s="20" t="n">
        <v>43000</v>
      </c>
      <c r="B93" s="13" t="n">
        <v>3.59</v>
      </c>
      <c r="C93" s="12" t="n">
        <v>73</v>
      </c>
      <c r="D93" s="13" t="n">
        <v>14.6</v>
      </c>
      <c r="E93" s="13" t="n">
        <v>25.55</v>
      </c>
      <c r="F93" s="12" t="n">
        <v>34</v>
      </c>
      <c r="G93" s="13" t="n">
        <v>11.33333333333334</v>
      </c>
      <c r="H93" s="21" t="n">
        <v>4.917808219178082</v>
      </c>
      <c r="I93" s="21" t="n">
        <v>4.99</v>
      </c>
    </row>
    <row r="94">
      <c r="A94" s="22" t="n">
        <v>43007</v>
      </c>
      <c r="B94" s="17" t="n">
        <v>3.53</v>
      </c>
      <c r="C94" s="16" t="n">
        <v>73</v>
      </c>
      <c r="D94" s="17" t="n">
        <v>14.6</v>
      </c>
      <c r="E94" s="17" t="n">
        <v>25.55</v>
      </c>
      <c r="F94" s="16" t="n">
        <v>34</v>
      </c>
      <c r="G94" s="17" t="n">
        <v>11.33333333333334</v>
      </c>
      <c r="H94" s="23" t="n">
        <v>4.835616438356165</v>
      </c>
      <c r="I94" s="23" t="n">
        <v>4.96</v>
      </c>
    </row>
    <row r="95">
      <c r="A95" s="20" t="n">
        <v>43014</v>
      </c>
      <c r="B95" s="13" t="n">
        <v>3.51</v>
      </c>
      <c r="C95" s="12" t="n">
        <v>73</v>
      </c>
      <c r="D95" s="13" t="n">
        <v>14.6</v>
      </c>
      <c r="E95" s="13" t="n">
        <v>25.55</v>
      </c>
      <c r="F95" s="12" t="n">
        <v>34</v>
      </c>
      <c r="G95" s="13" t="n">
        <v>11.33333333333334</v>
      </c>
      <c r="H95" s="21" t="n">
        <v>4.808219178082192</v>
      </c>
      <c r="I95" s="21" t="n">
        <v>4.93</v>
      </c>
    </row>
    <row r="96">
      <c r="A96" s="22" t="n">
        <v>43021</v>
      </c>
      <c r="B96" s="17" t="n">
        <v>3.56</v>
      </c>
      <c r="C96" s="16" t="n">
        <v>73</v>
      </c>
      <c r="D96" s="17" t="n">
        <v>14.6</v>
      </c>
      <c r="E96" s="17" t="n">
        <v>25.55</v>
      </c>
      <c r="F96" s="16" t="n">
        <v>34</v>
      </c>
      <c r="G96" s="17" t="n">
        <v>11.33333333333334</v>
      </c>
      <c r="H96" s="23" t="n">
        <v>4.876712328767123</v>
      </c>
      <c r="I96" s="23" t="n">
        <v>4.91</v>
      </c>
    </row>
    <row r="97">
      <c r="A97" s="20" t="n">
        <v>43028</v>
      </c>
      <c r="B97" s="13" t="n">
        <v>3.42</v>
      </c>
      <c r="C97" s="12" t="n">
        <v>73</v>
      </c>
      <c r="D97" s="13" t="n">
        <v>14.6</v>
      </c>
      <c r="E97" s="13" t="n">
        <v>25.55</v>
      </c>
      <c r="F97" s="12" t="n">
        <v>34</v>
      </c>
      <c r="G97" s="13" t="n">
        <v>11.33333333333334</v>
      </c>
      <c r="H97" s="21" t="n">
        <v>4.684931506849315</v>
      </c>
      <c r="I97" s="21" t="n">
        <v>4.86</v>
      </c>
    </row>
    <row r="98">
      <c r="A98" s="22" t="n">
        <v>43035</v>
      </c>
      <c r="B98" s="17" t="n">
        <v>3.46</v>
      </c>
      <c r="C98" s="16" t="n">
        <v>73</v>
      </c>
      <c r="D98" s="17" t="n">
        <v>14.6</v>
      </c>
      <c r="E98" s="17" t="n">
        <v>25.55</v>
      </c>
      <c r="F98" s="16" t="n">
        <v>34</v>
      </c>
      <c r="G98" s="17" t="n">
        <v>11.33333333333334</v>
      </c>
      <c r="H98" s="23" t="n">
        <v>4.739726027397261</v>
      </c>
      <c r="I98" s="23" t="n">
        <v>4.83</v>
      </c>
    </row>
    <row r="99">
      <c r="A99" s="20" t="n">
        <v>43042</v>
      </c>
      <c r="B99" s="13" t="n">
        <v>3.48</v>
      </c>
      <c r="C99" s="12" t="n">
        <v>73</v>
      </c>
      <c r="D99" s="13" t="n">
        <v>14.6</v>
      </c>
      <c r="E99" s="13" t="n">
        <v>25.55</v>
      </c>
      <c r="F99" s="12" t="n">
        <v>34</v>
      </c>
      <c r="G99" s="13" t="n">
        <v>11.33333333333334</v>
      </c>
      <c r="H99" s="21" t="n">
        <v>4.767123287671233</v>
      </c>
      <c r="I99" s="21" t="n">
        <v>4.8</v>
      </c>
    </row>
    <row r="100">
      <c r="A100" s="22" t="n">
        <v>43049</v>
      </c>
      <c r="B100" s="17" t="n">
        <v>3.53</v>
      </c>
      <c r="C100" s="16" t="n">
        <v>73</v>
      </c>
      <c r="D100" s="17" t="n">
        <v>14.6</v>
      </c>
      <c r="E100" s="17" t="n">
        <v>25.55</v>
      </c>
      <c r="F100" s="16" t="n">
        <v>34</v>
      </c>
      <c r="G100" s="17" t="n">
        <v>11.33333333333334</v>
      </c>
      <c r="H100" s="23" t="n">
        <v>4.835616438356165</v>
      </c>
      <c r="I100" s="23" t="n">
        <v>4.8</v>
      </c>
    </row>
    <row r="101">
      <c r="A101" s="20" t="n">
        <v>43056</v>
      </c>
      <c r="B101" s="13" t="n">
        <v>3.69</v>
      </c>
      <c r="C101" s="12" t="n">
        <v>73</v>
      </c>
      <c r="D101" s="13" t="n">
        <v>14.6</v>
      </c>
      <c r="E101" s="13" t="n">
        <v>25.55</v>
      </c>
      <c r="F101" s="12" t="n">
        <v>34</v>
      </c>
      <c r="G101" s="13" t="n">
        <v>11.33333333333334</v>
      </c>
      <c r="H101" s="21" t="n">
        <v>5.054794520547945</v>
      </c>
      <c r="I101" s="21" t="n">
        <v>4.83</v>
      </c>
    </row>
    <row r="102">
      <c r="A102" s="22" t="n">
        <v>43063</v>
      </c>
      <c r="B102" s="17" t="n">
        <v>3.57</v>
      </c>
      <c r="C102" s="16" t="n">
        <v>73</v>
      </c>
      <c r="D102" s="17" t="n">
        <v>14.6</v>
      </c>
      <c r="E102" s="17" t="n">
        <v>25.55</v>
      </c>
      <c r="F102" s="16" t="n">
        <v>34</v>
      </c>
      <c r="G102" s="17" t="n">
        <v>11.33333333333334</v>
      </c>
      <c r="H102" s="23" t="n">
        <v>4.890410958904109</v>
      </c>
      <c r="I102" s="23" t="n">
        <v>4.84</v>
      </c>
    </row>
    <row r="103">
      <c r="A103" s="20" t="n">
        <v>43070</v>
      </c>
      <c r="B103" s="13" t="n">
        <v>3.64</v>
      </c>
      <c r="C103" s="12" t="n">
        <v>73</v>
      </c>
      <c r="D103" s="13" t="n">
        <v>14.6</v>
      </c>
      <c r="E103" s="13" t="n">
        <v>25.55</v>
      </c>
      <c r="F103" s="12" t="n">
        <v>34</v>
      </c>
      <c r="G103" s="13" t="n">
        <v>11.33333333333334</v>
      </c>
      <c r="H103" s="21" t="n">
        <v>4.986301369863014</v>
      </c>
      <c r="I103" s="21" t="n">
        <v>4.86</v>
      </c>
    </row>
    <row r="104">
      <c r="A104" s="22" t="n">
        <v>43077</v>
      </c>
      <c r="B104" s="17" t="n">
        <v>3.82</v>
      </c>
      <c r="C104" s="16" t="n">
        <v>73</v>
      </c>
      <c r="D104" s="17" t="n">
        <v>14.6</v>
      </c>
      <c r="E104" s="17" t="n">
        <v>25.55</v>
      </c>
      <c r="F104" s="16" t="n">
        <v>34</v>
      </c>
      <c r="G104" s="17" t="n">
        <v>11.33333333333334</v>
      </c>
      <c r="H104" s="23" t="n">
        <v>5.232876712328767</v>
      </c>
      <c r="I104" s="23" t="n">
        <v>4.89</v>
      </c>
    </row>
    <row r="105">
      <c r="A105" s="20" t="n">
        <v>43084</v>
      </c>
      <c r="B105" s="13" t="n">
        <v>3.67</v>
      </c>
      <c r="C105" s="12" t="n">
        <v>73</v>
      </c>
      <c r="D105" s="13" t="n">
        <v>14.6</v>
      </c>
      <c r="E105" s="13" t="n">
        <v>25.55</v>
      </c>
      <c r="F105" s="12" t="n">
        <v>34</v>
      </c>
      <c r="G105" s="13" t="n">
        <v>11.33333333333334</v>
      </c>
      <c r="H105" s="21" t="n">
        <v>5.027397260273973</v>
      </c>
      <c r="I105" s="21" t="n">
        <v>4.89</v>
      </c>
    </row>
    <row r="106">
      <c r="A106" s="22" t="n">
        <v>43091</v>
      </c>
      <c r="B106" s="17" t="n">
        <v>3.79</v>
      </c>
      <c r="C106" s="16" t="n">
        <v>73</v>
      </c>
      <c r="D106" s="17" t="n">
        <v>14.6</v>
      </c>
      <c r="E106" s="17" t="n">
        <v>25.55</v>
      </c>
      <c r="F106" s="16" t="n">
        <v>34</v>
      </c>
      <c r="G106" s="17" t="n">
        <v>11.33333333333334</v>
      </c>
      <c r="H106" s="23" t="n">
        <v>5.191780821917808</v>
      </c>
      <c r="I106" s="23" t="n">
        <v>4.92</v>
      </c>
    </row>
    <row r="107">
      <c r="A107" s="20" t="n">
        <v>43098</v>
      </c>
      <c r="B107" s="13" t="n">
        <v>3.64</v>
      </c>
      <c r="C107" s="12" t="n">
        <v>73</v>
      </c>
      <c r="D107" s="13" t="n">
        <v>14.6</v>
      </c>
      <c r="E107" s="13" t="n">
        <v>25.55</v>
      </c>
      <c r="F107" s="12" t="n">
        <v>34</v>
      </c>
      <c r="G107" s="13" t="n">
        <v>11.33333333333334</v>
      </c>
      <c r="H107" s="21" t="n">
        <v>4.986301369863014</v>
      </c>
      <c r="I107" s="21" t="n">
        <v>4.94</v>
      </c>
    </row>
    <row r="108">
      <c r="A108" s="22" t="n">
        <v>43105</v>
      </c>
      <c r="B108" s="17" t="n">
        <v>3.73</v>
      </c>
      <c r="C108" s="16" t="n">
        <v>73</v>
      </c>
      <c r="D108" s="17" t="n">
        <v>14.6</v>
      </c>
      <c r="E108" s="17" t="n">
        <v>25.55</v>
      </c>
      <c r="F108" s="16" t="n">
        <v>34</v>
      </c>
      <c r="G108" s="17" t="n">
        <v>11.33333333333334</v>
      </c>
      <c r="H108" s="23" t="n">
        <v>5.109589041095891</v>
      </c>
      <c r="I108" s="23" t="n">
        <v>4.96</v>
      </c>
    </row>
    <row r="109">
      <c r="A109" s="20" t="n">
        <v>43112</v>
      </c>
      <c r="B109" s="13" t="n">
        <v>3.67</v>
      </c>
      <c r="C109" s="12" t="n">
        <v>73</v>
      </c>
      <c r="D109" s="13" t="n">
        <v>14.6</v>
      </c>
      <c r="E109" s="13" t="n">
        <v>25.55</v>
      </c>
      <c r="F109" s="12" t="n">
        <v>34</v>
      </c>
      <c r="G109" s="13" t="n">
        <v>11.33333333333334</v>
      </c>
      <c r="H109" s="21" t="n">
        <v>5.027397260273973</v>
      </c>
      <c r="I109" s="21" t="n">
        <v>4.99</v>
      </c>
    </row>
    <row r="110">
      <c r="A110" s="22" t="n">
        <v>43119</v>
      </c>
      <c r="B110" s="17" t="n">
        <v>3.74</v>
      </c>
      <c r="C110" s="16" t="n">
        <v>73</v>
      </c>
      <c r="D110" s="17" t="n">
        <v>14.6</v>
      </c>
      <c r="E110" s="17" t="n">
        <v>25.55</v>
      </c>
      <c r="F110" s="16" t="n">
        <v>34</v>
      </c>
      <c r="G110" s="17" t="n">
        <v>11.33333333333334</v>
      </c>
      <c r="H110" s="23" t="n">
        <v>5.123287671232877</v>
      </c>
      <c r="I110" s="23" t="n">
        <v>5.02</v>
      </c>
    </row>
    <row r="111">
      <c r="A111" s="20" t="n">
        <v>43126</v>
      </c>
      <c r="B111" s="13" t="n">
        <v>3.88</v>
      </c>
      <c r="C111" s="12" t="n">
        <v>73</v>
      </c>
      <c r="D111" s="13" t="n">
        <v>14.6</v>
      </c>
      <c r="E111" s="13" t="n">
        <v>25.55</v>
      </c>
      <c r="F111" s="12" t="n">
        <v>34</v>
      </c>
      <c r="G111" s="13" t="n">
        <v>11.33333333333334</v>
      </c>
      <c r="H111" s="21" t="n">
        <v>5.315068493150685</v>
      </c>
      <c r="I111" s="21" t="n">
        <v>5.07</v>
      </c>
    </row>
    <row r="112">
      <c r="A112" s="22" t="n">
        <v>43133</v>
      </c>
      <c r="B112" s="17" t="n">
        <v>3.63</v>
      </c>
      <c r="C112" s="16" t="n">
        <v>73</v>
      </c>
      <c r="D112" s="17" t="n">
        <v>14.6</v>
      </c>
      <c r="E112" s="17" t="n">
        <v>25.55</v>
      </c>
      <c r="F112" s="16" t="n">
        <v>34</v>
      </c>
      <c r="G112" s="17" t="n">
        <v>11.33333333333334</v>
      </c>
      <c r="H112" s="23" t="n">
        <v>4.972602739726027</v>
      </c>
      <c r="I112" s="23" t="n">
        <v>5.08</v>
      </c>
    </row>
    <row r="113">
      <c r="A113" s="20" t="n">
        <v>43140</v>
      </c>
      <c r="B113" s="13" t="n">
        <v>3.86</v>
      </c>
      <c r="C113" s="12" t="n">
        <v>73</v>
      </c>
      <c r="D113" s="13" t="n">
        <v>14.6</v>
      </c>
      <c r="E113" s="13" t="n">
        <v>25.55</v>
      </c>
      <c r="F113" s="12" t="n">
        <v>34</v>
      </c>
      <c r="G113" s="13" t="n">
        <v>11.33333333333334</v>
      </c>
      <c r="H113" s="21" t="n">
        <v>5.287671232876712</v>
      </c>
      <c r="I113" s="21" t="n">
        <v>5.1</v>
      </c>
    </row>
    <row r="114">
      <c r="A114" s="22" t="n">
        <v>43147</v>
      </c>
      <c r="B114" s="17" t="n">
        <v>3.86</v>
      </c>
      <c r="C114" s="16" t="n">
        <v>77.5</v>
      </c>
      <c r="D114" s="17" t="n">
        <v>15.5</v>
      </c>
      <c r="E114" s="17" t="n">
        <v>27.125</v>
      </c>
      <c r="F114" s="16" t="n">
        <v>36</v>
      </c>
      <c r="G114" s="17" t="n">
        <v>12</v>
      </c>
      <c r="H114" s="23" t="n">
        <v>4.980645161290322</v>
      </c>
      <c r="I114" s="23" t="n">
        <v>5.1</v>
      </c>
    </row>
    <row r="115">
      <c r="A115" s="20" t="n">
        <v>43154</v>
      </c>
      <c r="B115" s="13" t="n">
        <v>3.79</v>
      </c>
      <c r="C115" s="12" t="n">
        <v>77.5</v>
      </c>
      <c r="D115" s="13" t="n">
        <v>15.5</v>
      </c>
      <c r="E115" s="13" t="n">
        <v>27.125</v>
      </c>
      <c r="F115" s="12" t="n">
        <v>36</v>
      </c>
      <c r="G115" s="13" t="n">
        <v>12</v>
      </c>
      <c r="H115" s="21" t="n">
        <v>4.890322580645162</v>
      </c>
      <c r="I115" s="21" t="n">
        <v>5.1</v>
      </c>
    </row>
    <row r="116">
      <c r="A116" s="22" t="n">
        <v>43161</v>
      </c>
      <c r="B116" s="17" t="n">
        <v>3.72</v>
      </c>
      <c r="C116" s="16" t="n">
        <v>77.5</v>
      </c>
      <c r="D116" s="17" t="n">
        <v>15.5</v>
      </c>
      <c r="E116" s="17" t="n">
        <v>27.125</v>
      </c>
      <c r="F116" s="16" t="n">
        <v>36</v>
      </c>
      <c r="G116" s="17" t="n">
        <v>12</v>
      </c>
      <c r="H116" s="23" t="n">
        <v>4.8</v>
      </c>
      <c r="I116" s="23" t="n">
        <v>5.06</v>
      </c>
    </row>
    <row r="117">
      <c r="A117" s="20" t="n">
        <v>43168</v>
      </c>
      <c r="B117" s="13" t="n">
        <v>3.88</v>
      </c>
      <c r="C117" s="12" t="n">
        <v>77.5</v>
      </c>
      <c r="D117" s="13" t="n">
        <v>15.5</v>
      </c>
      <c r="E117" s="13" t="n">
        <v>27.125</v>
      </c>
      <c r="F117" s="12" t="n">
        <v>36</v>
      </c>
      <c r="G117" s="13" t="n">
        <v>12</v>
      </c>
      <c r="H117" s="21" t="n">
        <v>5.006451612903225</v>
      </c>
      <c r="I117" s="21" t="n">
        <v>5.06</v>
      </c>
    </row>
    <row r="118">
      <c r="A118" s="22" t="n">
        <v>43175</v>
      </c>
      <c r="B118" s="17" t="n">
        <v>3.84</v>
      </c>
      <c r="C118" s="16" t="n">
        <v>77.5</v>
      </c>
      <c r="D118" s="17" t="n">
        <v>15.5</v>
      </c>
      <c r="E118" s="17" t="n">
        <v>27.125</v>
      </c>
      <c r="F118" s="16" t="n">
        <v>36</v>
      </c>
      <c r="G118" s="17" t="n">
        <v>12</v>
      </c>
      <c r="H118" s="23" t="n">
        <v>4.954838709677419</v>
      </c>
      <c r="I118" s="23" t="n">
        <v>5.04</v>
      </c>
    </row>
    <row r="119">
      <c r="A119" s="20" t="n">
        <v>43182</v>
      </c>
      <c r="B119" s="13" t="n">
        <v>3.93</v>
      </c>
      <c r="C119" s="12" t="n">
        <v>77.5</v>
      </c>
      <c r="D119" s="13" t="n">
        <v>15.5</v>
      </c>
      <c r="E119" s="13" t="n">
        <v>27.125</v>
      </c>
      <c r="F119" s="12" t="n">
        <v>36</v>
      </c>
      <c r="G119" s="13" t="n">
        <v>12</v>
      </c>
      <c r="H119" s="21" t="n">
        <v>5.070967741935484</v>
      </c>
      <c r="I119" s="21" t="n">
        <v>5.04</v>
      </c>
    </row>
    <row r="120">
      <c r="A120" s="22" t="n">
        <v>43189</v>
      </c>
      <c r="B120" s="17" t="n">
        <v>3.92</v>
      </c>
      <c r="C120" s="16" t="n">
        <v>77.5</v>
      </c>
      <c r="D120" s="17" t="n">
        <v>15.5</v>
      </c>
      <c r="E120" s="17" t="n">
        <v>27.125</v>
      </c>
      <c r="F120" s="16" t="n">
        <v>36</v>
      </c>
      <c r="G120" s="17" t="n">
        <v>12</v>
      </c>
      <c r="H120" s="23" t="n">
        <v>5.058064516129032</v>
      </c>
      <c r="I120" s="23" t="n">
        <v>5.04</v>
      </c>
    </row>
    <row r="121">
      <c r="A121" s="20" t="n">
        <v>43196</v>
      </c>
      <c r="B121" s="13" t="n">
        <v>4.09</v>
      </c>
      <c r="C121" s="12" t="n">
        <v>77.5</v>
      </c>
      <c r="D121" s="13" t="n">
        <v>15.5</v>
      </c>
      <c r="E121" s="13" t="n">
        <v>27.125</v>
      </c>
      <c r="F121" s="12" t="n">
        <v>36</v>
      </c>
      <c r="G121" s="13" t="n">
        <v>12</v>
      </c>
      <c r="H121" s="21" t="n">
        <v>5.27741935483871</v>
      </c>
      <c r="I121" s="21" t="n">
        <v>5.06</v>
      </c>
    </row>
    <row r="122">
      <c r="A122" s="22" t="n">
        <v>43203</v>
      </c>
      <c r="B122" s="17" t="n">
        <v>3.92</v>
      </c>
      <c r="C122" s="16" t="n">
        <v>77.5</v>
      </c>
      <c r="D122" s="17" t="n">
        <v>15.5</v>
      </c>
      <c r="E122" s="17" t="n">
        <v>27.125</v>
      </c>
      <c r="F122" s="16" t="n">
        <v>36</v>
      </c>
      <c r="G122" s="17" t="n">
        <v>12</v>
      </c>
      <c r="H122" s="23" t="n">
        <v>5.058064516129032</v>
      </c>
      <c r="I122" s="23" t="n">
        <v>5.06</v>
      </c>
    </row>
    <row r="123">
      <c r="A123" s="20" t="n">
        <v>43210</v>
      </c>
      <c r="B123" s="13" t="n">
        <v>3.86</v>
      </c>
      <c r="C123" s="12" t="n">
        <v>77.5</v>
      </c>
      <c r="D123" s="13" t="n">
        <v>15.5</v>
      </c>
      <c r="E123" s="13" t="n">
        <v>27.125</v>
      </c>
      <c r="F123" s="12" t="n">
        <v>36</v>
      </c>
      <c r="G123" s="13" t="n">
        <v>12</v>
      </c>
      <c r="H123" s="21" t="n">
        <v>4.980645161290322</v>
      </c>
      <c r="I123" s="21" t="n">
        <v>5.03</v>
      </c>
    </row>
    <row r="124">
      <c r="A124" s="22" t="n">
        <v>43217</v>
      </c>
      <c r="B124" s="17" t="n">
        <v>3.99</v>
      </c>
      <c r="C124" s="16" t="n">
        <v>77.5</v>
      </c>
      <c r="D124" s="17" t="n">
        <v>15.5</v>
      </c>
      <c r="E124" s="17" t="n">
        <v>27.125</v>
      </c>
      <c r="F124" s="16" t="n">
        <v>36</v>
      </c>
      <c r="G124" s="17" t="n">
        <v>12</v>
      </c>
      <c r="H124" s="23" t="n">
        <v>5.148387096774194</v>
      </c>
      <c r="I124" s="23" t="n">
        <v>5.04</v>
      </c>
    </row>
    <row r="125">
      <c r="A125" s="20" t="n">
        <v>43224</v>
      </c>
      <c r="B125" s="13" t="n">
        <v>4.01</v>
      </c>
      <c r="C125" s="12" t="n">
        <v>77.5</v>
      </c>
      <c r="D125" s="13" t="n">
        <v>15.5</v>
      </c>
      <c r="E125" s="13" t="n">
        <v>27.125</v>
      </c>
      <c r="F125" s="12" t="n">
        <v>36</v>
      </c>
      <c r="G125" s="13" t="n">
        <v>12</v>
      </c>
      <c r="H125" s="21" t="n">
        <v>5.174193548387096</v>
      </c>
      <c r="I125" s="21" t="n">
        <v>5.03</v>
      </c>
    </row>
    <row r="126">
      <c r="A126" s="22" t="n">
        <v>43231</v>
      </c>
      <c r="B126" s="17" t="n">
        <v>4.13</v>
      </c>
      <c r="C126" s="16" t="n">
        <v>77.5</v>
      </c>
      <c r="D126" s="17" t="n">
        <v>15.5</v>
      </c>
      <c r="E126" s="17" t="n">
        <v>27.125</v>
      </c>
      <c r="F126" s="16" t="n">
        <v>36</v>
      </c>
      <c r="G126" s="17" t="n">
        <v>12</v>
      </c>
      <c r="H126" s="23" t="n">
        <v>5.329032258064516</v>
      </c>
      <c r="I126" s="23" t="n">
        <v>5.06</v>
      </c>
    </row>
    <row r="127">
      <c r="A127" s="20" t="n">
        <v>43238</v>
      </c>
      <c r="B127" s="13" t="n">
        <v>4.1</v>
      </c>
      <c r="C127" s="12" t="n">
        <v>77.5</v>
      </c>
      <c r="D127" s="13" t="n">
        <v>15.5</v>
      </c>
      <c r="E127" s="13" t="n">
        <v>27.125</v>
      </c>
      <c r="F127" s="12" t="n">
        <v>36</v>
      </c>
      <c r="G127" s="13" t="n">
        <v>12</v>
      </c>
      <c r="H127" s="21" t="n">
        <v>5.290322580645161</v>
      </c>
      <c r="I127" s="21" t="n">
        <v>5.1</v>
      </c>
    </row>
    <row r="128">
      <c r="A128" s="22" t="n">
        <v>43245</v>
      </c>
      <c r="B128" s="17" t="n">
        <v>4.06</v>
      </c>
      <c r="C128" s="16" t="n">
        <v>77.5</v>
      </c>
      <c r="D128" s="17" t="n">
        <v>15.5</v>
      </c>
      <c r="E128" s="17" t="n">
        <v>27.125</v>
      </c>
      <c r="F128" s="16" t="n">
        <v>36</v>
      </c>
      <c r="G128" s="17" t="n">
        <v>12</v>
      </c>
      <c r="H128" s="23" t="n">
        <v>5.238709677419354</v>
      </c>
      <c r="I128" s="23" t="n">
        <v>5.13</v>
      </c>
    </row>
    <row r="129">
      <c r="A129" s="20" t="n">
        <v>43252</v>
      </c>
      <c r="B129" s="13" t="n">
        <v>4.18</v>
      </c>
      <c r="C129" s="12" t="n">
        <v>77.5</v>
      </c>
      <c r="D129" s="13" t="n">
        <v>15.5</v>
      </c>
      <c r="E129" s="13" t="n">
        <v>27.125</v>
      </c>
      <c r="F129" s="12" t="n">
        <v>36</v>
      </c>
      <c r="G129" s="13" t="n">
        <v>12</v>
      </c>
      <c r="H129" s="21" t="n">
        <v>5.393548387096773</v>
      </c>
      <c r="I129" s="21" t="n">
        <v>5.16</v>
      </c>
    </row>
    <row r="130">
      <c r="A130" s="22" t="n">
        <v>43259</v>
      </c>
      <c r="B130" s="17" t="n">
        <v>3.93</v>
      </c>
      <c r="C130" s="16" t="n">
        <v>77.5</v>
      </c>
      <c r="D130" s="17" t="n">
        <v>15.5</v>
      </c>
      <c r="E130" s="17" t="n">
        <v>27.125</v>
      </c>
      <c r="F130" s="16" t="n">
        <v>36</v>
      </c>
      <c r="G130" s="17" t="n">
        <v>12</v>
      </c>
      <c r="H130" s="23" t="n">
        <v>5.070967741935484</v>
      </c>
      <c r="I130" s="23" t="n">
        <v>5.17</v>
      </c>
    </row>
    <row r="131">
      <c r="A131" s="20" t="n">
        <v>43266</v>
      </c>
      <c r="B131" s="13" t="n">
        <v>4</v>
      </c>
      <c r="C131" s="12" t="n">
        <v>77.5</v>
      </c>
      <c r="D131" s="13" t="n">
        <v>15.5</v>
      </c>
      <c r="E131" s="13" t="n">
        <v>27.125</v>
      </c>
      <c r="F131" s="12" t="n">
        <v>36</v>
      </c>
      <c r="G131" s="13" t="n">
        <v>12</v>
      </c>
      <c r="H131" s="21" t="n">
        <v>5.161290322580645</v>
      </c>
      <c r="I131" s="21" t="n">
        <v>5.18</v>
      </c>
    </row>
    <row r="132">
      <c r="A132" s="22" t="n">
        <v>43273</v>
      </c>
      <c r="B132" s="17" t="n">
        <v>3.98</v>
      </c>
      <c r="C132" s="16" t="n">
        <v>77.5</v>
      </c>
      <c r="D132" s="17" t="n">
        <v>15.5</v>
      </c>
      <c r="E132" s="17" t="n">
        <v>27.125</v>
      </c>
      <c r="F132" s="16" t="n">
        <v>36</v>
      </c>
      <c r="G132" s="17" t="n">
        <v>12</v>
      </c>
      <c r="H132" s="23" t="n">
        <v>5.135483870967742</v>
      </c>
      <c r="I132" s="23" t="n">
        <v>5.19</v>
      </c>
    </row>
    <row r="133">
      <c r="A133" s="20" t="n">
        <v>43280</v>
      </c>
      <c r="B133" s="13" t="n">
        <v>4.05</v>
      </c>
      <c r="C133" s="12" t="n">
        <v>77.5</v>
      </c>
      <c r="D133" s="13" t="n">
        <v>15.5</v>
      </c>
      <c r="E133" s="13" t="n">
        <v>27.125</v>
      </c>
      <c r="F133" s="12" t="n">
        <v>36</v>
      </c>
      <c r="G133" s="13" t="n">
        <v>12</v>
      </c>
      <c r="H133" s="21" t="n">
        <v>5.225806451612903</v>
      </c>
      <c r="I133" s="21" t="n">
        <v>5.18</v>
      </c>
    </row>
    <row r="134">
      <c r="A134" s="22" t="n">
        <v>43287</v>
      </c>
      <c r="B134" s="17" t="n">
        <v>3.96</v>
      </c>
      <c r="C134" s="16" t="n">
        <v>77.5</v>
      </c>
      <c r="D134" s="17" t="n">
        <v>15.5</v>
      </c>
      <c r="E134" s="17" t="n">
        <v>27.125</v>
      </c>
      <c r="F134" s="16" t="n">
        <v>36</v>
      </c>
      <c r="G134" s="17" t="n">
        <v>12</v>
      </c>
      <c r="H134" s="23" t="n">
        <v>5.109677419354838</v>
      </c>
      <c r="I134" s="23" t="n">
        <v>5.19</v>
      </c>
    </row>
    <row r="135">
      <c r="A135" s="20" t="n">
        <v>43294</v>
      </c>
      <c r="B135" s="13" t="n">
        <v>4.18</v>
      </c>
      <c r="C135" s="12" t="n">
        <v>77.5</v>
      </c>
      <c r="D135" s="13" t="n">
        <v>15.5</v>
      </c>
      <c r="E135" s="13" t="n">
        <v>27.125</v>
      </c>
      <c r="F135" s="12" t="n">
        <v>36</v>
      </c>
      <c r="G135" s="13" t="n">
        <v>12</v>
      </c>
      <c r="H135" s="21" t="n">
        <v>5.393548387096773</v>
      </c>
      <c r="I135" s="21" t="n">
        <v>5.22</v>
      </c>
    </row>
    <row r="136">
      <c r="A136" s="22" t="n">
        <v>43301</v>
      </c>
      <c r="B136" s="17" t="n">
        <v>4.11</v>
      </c>
      <c r="C136" s="16" t="n">
        <v>77.5</v>
      </c>
      <c r="D136" s="17" t="n">
        <v>15.5</v>
      </c>
      <c r="E136" s="17" t="n">
        <v>27.125</v>
      </c>
      <c r="F136" s="16" t="n">
        <v>36</v>
      </c>
      <c r="G136" s="17" t="n">
        <v>12</v>
      </c>
      <c r="H136" s="23" t="n">
        <v>5.303225806451613</v>
      </c>
      <c r="I136" s="23" t="n">
        <v>5.24</v>
      </c>
    </row>
    <row r="137">
      <c r="A137" s="20" t="n">
        <v>43308</v>
      </c>
      <c r="B137" s="13" t="n">
        <v>3.99</v>
      </c>
      <c r="C137" s="12" t="n">
        <v>77.5</v>
      </c>
      <c r="D137" s="13" t="n">
        <v>15.5</v>
      </c>
      <c r="E137" s="13" t="n">
        <v>27.125</v>
      </c>
      <c r="F137" s="12" t="n">
        <v>36</v>
      </c>
      <c r="G137" s="13" t="n">
        <v>12</v>
      </c>
      <c r="H137" s="21" t="n">
        <v>5.148387096774194</v>
      </c>
      <c r="I137" s="21" t="n">
        <v>5.23</v>
      </c>
    </row>
    <row r="138">
      <c r="A138" s="22" t="n">
        <v>43315</v>
      </c>
      <c r="B138" s="17" t="n">
        <v>4.05</v>
      </c>
      <c r="C138" s="16" t="n">
        <v>77.5</v>
      </c>
      <c r="D138" s="17" t="n">
        <v>15.5</v>
      </c>
      <c r="E138" s="17" t="n">
        <v>27.125</v>
      </c>
      <c r="F138" s="16" t="n">
        <v>36</v>
      </c>
      <c r="G138" s="17" t="n">
        <v>12</v>
      </c>
      <c r="H138" s="23" t="n">
        <v>5.225806451612903</v>
      </c>
      <c r="I138" s="23" t="n">
        <v>5.22</v>
      </c>
    </row>
    <row r="139">
      <c r="A139" s="20" t="n">
        <v>43322</v>
      </c>
      <c r="B139" s="13" t="n">
        <v>4.2</v>
      </c>
      <c r="C139" s="12" t="n">
        <v>77.5</v>
      </c>
      <c r="D139" s="13" t="n">
        <v>15.5</v>
      </c>
      <c r="E139" s="13" t="n">
        <v>27.125</v>
      </c>
      <c r="F139" s="12" t="n">
        <v>36</v>
      </c>
      <c r="G139" s="13" t="n">
        <v>12</v>
      </c>
      <c r="H139" s="21" t="n">
        <v>5.419354838709678</v>
      </c>
      <c r="I139" s="21" t="n">
        <v>5.24</v>
      </c>
    </row>
    <row r="140">
      <c r="A140" s="22" t="n">
        <v>43329</v>
      </c>
      <c r="B140" s="17" t="n">
        <v>4.26</v>
      </c>
      <c r="C140" s="16" t="n">
        <v>87</v>
      </c>
      <c r="D140" s="17" t="n">
        <v>17.4</v>
      </c>
      <c r="E140" s="17" t="n">
        <v>30.45</v>
      </c>
      <c r="F140" s="16" t="n">
        <v>40</v>
      </c>
      <c r="G140" s="17" t="n">
        <v>13.33333333333334</v>
      </c>
      <c r="H140" s="23" t="n">
        <v>4.896551724137931</v>
      </c>
      <c r="I140" s="23" t="n">
        <v>5.21</v>
      </c>
    </row>
    <row r="141">
      <c r="A141" s="20" t="n">
        <v>43336</v>
      </c>
      <c r="B141" s="13" t="n">
        <v>4.39</v>
      </c>
      <c r="C141" s="12" t="n">
        <v>87</v>
      </c>
      <c r="D141" s="13" t="n">
        <v>17.4</v>
      </c>
      <c r="E141" s="13" t="n">
        <v>30.45</v>
      </c>
      <c r="F141" s="12" t="n">
        <v>40</v>
      </c>
      <c r="G141" s="13" t="n">
        <v>13.33333333333334</v>
      </c>
      <c r="H141" s="21" t="n">
        <v>5.045977011494252</v>
      </c>
      <c r="I141" s="21" t="n">
        <v>5.18</v>
      </c>
    </row>
    <row r="142">
      <c r="A142" s="22" t="n">
        <v>43343</v>
      </c>
      <c r="B142" s="17" t="n">
        <v>4.49</v>
      </c>
      <c r="C142" s="16" t="n">
        <v>87</v>
      </c>
      <c r="D142" s="17" t="n">
        <v>17.4</v>
      </c>
      <c r="E142" s="17" t="n">
        <v>30.45</v>
      </c>
      <c r="F142" s="16" t="n">
        <v>40</v>
      </c>
      <c r="G142" s="17" t="n">
        <v>13.33333333333334</v>
      </c>
      <c r="H142" s="23" t="n">
        <v>5.160919540229886</v>
      </c>
      <c r="I142" s="23" t="n">
        <v>5.19</v>
      </c>
    </row>
    <row r="143">
      <c r="A143" s="20" t="n">
        <v>43350</v>
      </c>
      <c r="B143" s="13" t="n">
        <v>4.25</v>
      </c>
      <c r="C143" s="12" t="n">
        <v>87</v>
      </c>
      <c r="D143" s="13" t="n">
        <v>17.4</v>
      </c>
      <c r="E143" s="13" t="n">
        <v>30.45</v>
      </c>
      <c r="F143" s="12" t="n">
        <v>40</v>
      </c>
      <c r="G143" s="13" t="n">
        <v>13.33333333333334</v>
      </c>
      <c r="H143" s="21" t="n">
        <v>4.885057471264368</v>
      </c>
      <c r="I143" s="21" t="n">
        <v>5.16</v>
      </c>
    </row>
    <row r="144">
      <c r="A144" s="22" t="n">
        <v>43357</v>
      </c>
      <c r="B144" s="17" t="n">
        <v>4.13</v>
      </c>
      <c r="C144" s="16" t="n">
        <v>87</v>
      </c>
      <c r="D144" s="17" t="n">
        <v>17.4</v>
      </c>
      <c r="E144" s="17" t="n">
        <v>30.45</v>
      </c>
      <c r="F144" s="16" t="n">
        <v>40</v>
      </c>
      <c r="G144" s="17" t="n">
        <v>13.33333333333334</v>
      </c>
      <c r="H144" s="23" t="n">
        <v>4.747126436781609</v>
      </c>
      <c r="I144" s="23" t="n">
        <v>5.13</v>
      </c>
    </row>
    <row r="145">
      <c r="A145" s="20" t="n">
        <v>43364</v>
      </c>
      <c r="B145" s="13" t="n">
        <v>4.02</v>
      </c>
      <c r="C145" s="12" t="n">
        <v>87</v>
      </c>
      <c r="D145" s="13" t="n">
        <v>17.4</v>
      </c>
      <c r="E145" s="13" t="n">
        <v>30.45</v>
      </c>
      <c r="F145" s="12" t="n">
        <v>40</v>
      </c>
      <c r="G145" s="13" t="n">
        <v>13.33333333333334</v>
      </c>
      <c r="H145" s="21" t="n">
        <v>4.620689655172414</v>
      </c>
      <c r="I145" s="21" t="n">
        <v>5.08</v>
      </c>
    </row>
    <row r="146">
      <c r="A146" s="22" t="n">
        <v>43371</v>
      </c>
      <c r="B146" s="17" t="n">
        <v>4.28</v>
      </c>
      <c r="C146" s="16" t="n">
        <v>87</v>
      </c>
      <c r="D146" s="17" t="n">
        <v>17.4</v>
      </c>
      <c r="E146" s="17" t="n">
        <v>30.45</v>
      </c>
      <c r="F146" s="16" t="n">
        <v>40</v>
      </c>
      <c r="G146" s="17" t="n">
        <v>13.33333333333334</v>
      </c>
      <c r="H146" s="23" t="n">
        <v>4.919540229885058</v>
      </c>
      <c r="I146" s="23" t="n">
        <v>5.06</v>
      </c>
    </row>
    <row r="147">
      <c r="A147" s="20" t="n">
        <v>43378</v>
      </c>
      <c r="B147" s="13" t="n">
        <v>4.18</v>
      </c>
      <c r="C147" s="12" t="n">
        <v>87</v>
      </c>
      <c r="D147" s="13" t="n">
        <v>17.4</v>
      </c>
      <c r="E147" s="13" t="n">
        <v>30.45</v>
      </c>
      <c r="F147" s="12" t="n">
        <v>40</v>
      </c>
      <c r="G147" s="13" t="n">
        <v>13.33333333333334</v>
      </c>
      <c r="H147" s="21" t="n">
        <v>4.804597701149425</v>
      </c>
      <c r="I147" s="21" t="n">
        <v>5.01</v>
      </c>
    </row>
    <row r="148">
      <c r="A148" s="22" t="n">
        <v>43385</v>
      </c>
      <c r="B148" s="17" t="n">
        <v>4.23</v>
      </c>
      <c r="C148" s="16" t="n">
        <v>87</v>
      </c>
      <c r="D148" s="17" t="n">
        <v>17.4</v>
      </c>
      <c r="E148" s="17" t="n">
        <v>30.45</v>
      </c>
      <c r="F148" s="16" t="n">
        <v>40</v>
      </c>
      <c r="G148" s="17" t="n">
        <v>13.33333333333334</v>
      </c>
      <c r="H148" s="23" t="n">
        <v>4.862068965517242</v>
      </c>
      <c r="I148" s="23" t="n">
        <v>4.98</v>
      </c>
    </row>
    <row r="149">
      <c r="A149" s="20" t="n">
        <v>43392</v>
      </c>
      <c r="B149" s="13" t="n">
        <v>4.22</v>
      </c>
      <c r="C149" s="12" t="n">
        <v>87</v>
      </c>
      <c r="D149" s="13" t="n">
        <v>17.4</v>
      </c>
      <c r="E149" s="13" t="n">
        <v>30.45</v>
      </c>
      <c r="F149" s="12" t="n">
        <v>40</v>
      </c>
      <c r="G149" s="13" t="n">
        <v>13.33333333333334</v>
      </c>
      <c r="H149" s="21" t="n">
        <v>4.850574712643678</v>
      </c>
      <c r="I149" s="21" t="n">
        <v>4.95</v>
      </c>
    </row>
    <row r="150">
      <c r="A150" s="22" t="n">
        <v>43399</v>
      </c>
      <c r="B150" s="17" t="n">
        <v>4.28</v>
      </c>
      <c r="C150" s="16" t="n">
        <v>87</v>
      </c>
      <c r="D150" s="17" t="n">
        <v>17.4</v>
      </c>
      <c r="E150" s="17" t="n">
        <v>30.45</v>
      </c>
      <c r="F150" s="16" t="n">
        <v>40</v>
      </c>
      <c r="G150" s="17" t="n">
        <v>13.33333333333334</v>
      </c>
      <c r="H150" s="23" t="n">
        <v>4.919540229885058</v>
      </c>
      <c r="I150" s="23" t="n">
        <v>4.93</v>
      </c>
    </row>
    <row r="151">
      <c r="A151" s="20" t="n">
        <v>43406</v>
      </c>
      <c r="B151" s="13" t="n">
        <v>4.41</v>
      </c>
      <c r="C151" s="12" t="n">
        <v>87</v>
      </c>
      <c r="D151" s="13" t="n">
        <v>17.4</v>
      </c>
      <c r="E151" s="13" t="n">
        <v>30.45</v>
      </c>
      <c r="F151" s="12" t="n">
        <v>40</v>
      </c>
      <c r="G151" s="13" t="n">
        <v>13.33333333333334</v>
      </c>
      <c r="H151" s="21" t="n">
        <v>5.06896551724138</v>
      </c>
      <c r="I151" s="21" t="n">
        <v>4.9</v>
      </c>
    </row>
    <row r="152">
      <c r="A152" s="22" t="n">
        <v>43413</v>
      </c>
      <c r="B152" s="17" t="n">
        <v>4.33</v>
      </c>
      <c r="C152" s="16" t="n">
        <v>87</v>
      </c>
      <c r="D152" s="17" t="n">
        <v>17.4</v>
      </c>
      <c r="E152" s="17" t="n">
        <v>30.45</v>
      </c>
      <c r="F152" s="16" t="n">
        <v>40</v>
      </c>
      <c r="G152" s="17" t="n">
        <v>13.33333333333334</v>
      </c>
      <c r="H152" s="23" t="n">
        <v>4.977011494252873</v>
      </c>
      <c r="I152" s="23" t="n">
        <v>4.91</v>
      </c>
    </row>
    <row r="153">
      <c r="A153" s="20" t="n">
        <v>43420</v>
      </c>
      <c r="B153" s="13" t="n">
        <v>4.31</v>
      </c>
      <c r="C153" s="12" t="n">
        <v>87</v>
      </c>
      <c r="D153" s="13" t="n">
        <v>17.4</v>
      </c>
      <c r="E153" s="13" t="n">
        <v>30.45</v>
      </c>
      <c r="F153" s="12" t="n">
        <v>40</v>
      </c>
      <c r="G153" s="13" t="n">
        <v>13.33333333333334</v>
      </c>
      <c r="H153" s="21" t="n">
        <v>4.954022988505747</v>
      </c>
      <c r="I153" s="21" t="n">
        <v>4.9</v>
      </c>
    </row>
    <row r="154">
      <c r="A154" s="22" t="n">
        <v>43427</v>
      </c>
      <c r="B154" s="17" t="n">
        <v>4.24</v>
      </c>
      <c r="C154" s="16" t="n">
        <v>87</v>
      </c>
      <c r="D154" s="17" t="n">
        <v>17.4</v>
      </c>
      <c r="E154" s="17" t="n">
        <v>30.45</v>
      </c>
      <c r="F154" s="16" t="n">
        <v>40</v>
      </c>
      <c r="G154" s="17" t="n">
        <v>13.33333333333334</v>
      </c>
      <c r="H154" s="23" t="n">
        <v>4.873563218390805</v>
      </c>
      <c r="I154" s="23" t="n">
        <v>4.87</v>
      </c>
    </row>
    <row r="155">
      <c r="A155" s="20" t="n">
        <v>43434</v>
      </c>
      <c r="B155" s="13" t="n">
        <v>4.18</v>
      </c>
      <c r="C155" s="12" t="n">
        <v>87</v>
      </c>
      <c r="D155" s="13" t="n">
        <v>17.4</v>
      </c>
      <c r="E155" s="13" t="n">
        <v>30.45</v>
      </c>
      <c r="F155" s="12" t="n">
        <v>40</v>
      </c>
      <c r="G155" s="13" t="n">
        <v>13.33333333333334</v>
      </c>
      <c r="H155" s="21" t="n">
        <v>4.804597701149425</v>
      </c>
      <c r="I155" s="21" t="n">
        <v>4.87</v>
      </c>
    </row>
    <row r="156">
      <c r="A156" s="22" t="n">
        <v>43441</v>
      </c>
      <c r="B156" s="17" t="n">
        <v>4.31</v>
      </c>
      <c r="C156" s="16" t="n">
        <v>87</v>
      </c>
      <c r="D156" s="17" t="n">
        <v>17.4</v>
      </c>
      <c r="E156" s="17" t="n">
        <v>30.45</v>
      </c>
      <c r="F156" s="16" t="n">
        <v>40</v>
      </c>
      <c r="G156" s="17" t="n">
        <v>13.33333333333334</v>
      </c>
      <c r="H156" s="23" t="n">
        <v>4.954022988505747</v>
      </c>
      <c r="I156" s="23" t="n">
        <v>4.88</v>
      </c>
    </row>
    <row r="157">
      <c r="A157" s="20" t="n">
        <v>43448</v>
      </c>
      <c r="B157" s="13" t="n">
        <v>4.37</v>
      </c>
      <c r="C157" s="12" t="n">
        <v>87</v>
      </c>
      <c r="D157" s="13" t="n">
        <v>17.4</v>
      </c>
      <c r="E157" s="13" t="n">
        <v>30.45</v>
      </c>
      <c r="F157" s="12" t="n">
        <v>40</v>
      </c>
      <c r="G157" s="13" t="n">
        <v>13.33333333333334</v>
      </c>
      <c r="H157" s="21" t="n">
        <v>5.022988505747127</v>
      </c>
      <c r="I157" s="21" t="n">
        <v>4.92</v>
      </c>
    </row>
    <row r="158">
      <c r="A158" s="22" t="n">
        <v>43455</v>
      </c>
      <c r="B158" s="17" t="n">
        <v>4.56</v>
      </c>
      <c r="C158" s="16" t="n">
        <v>87</v>
      </c>
      <c r="D158" s="17" t="n">
        <v>17.4</v>
      </c>
      <c r="E158" s="17" t="n">
        <v>30.45</v>
      </c>
      <c r="F158" s="16" t="n">
        <v>40</v>
      </c>
      <c r="G158" s="17" t="n">
        <v>13.33333333333334</v>
      </c>
      <c r="H158" s="23" t="n">
        <v>5.241379310344827</v>
      </c>
      <c r="I158" s="23" t="n">
        <v>4.94</v>
      </c>
    </row>
    <row r="159">
      <c r="A159" s="20" t="n">
        <v>43462</v>
      </c>
      <c r="B159" s="13" t="n">
        <v>4.41</v>
      </c>
      <c r="C159" s="12" t="n">
        <v>87</v>
      </c>
      <c r="D159" s="13" t="n">
        <v>17.4</v>
      </c>
      <c r="E159" s="13" t="n">
        <v>30.45</v>
      </c>
      <c r="F159" s="12" t="n">
        <v>40</v>
      </c>
      <c r="G159" s="13" t="n">
        <v>13.33333333333334</v>
      </c>
      <c r="H159" s="21" t="n">
        <v>5.06896551724138</v>
      </c>
      <c r="I159" s="21" t="n">
        <v>4.97</v>
      </c>
    </row>
    <row r="160">
      <c r="A160" s="22" t="n">
        <v>43469</v>
      </c>
      <c r="B160" s="17" t="n">
        <v>4.5</v>
      </c>
      <c r="C160" s="16" t="n">
        <v>87</v>
      </c>
      <c r="D160" s="17" t="n">
        <v>17.4</v>
      </c>
      <c r="E160" s="17" t="n">
        <v>30.45</v>
      </c>
      <c r="F160" s="16" t="n">
        <v>40</v>
      </c>
      <c r="G160" s="17" t="n">
        <v>13.33333333333334</v>
      </c>
      <c r="H160" s="23" t="n">
        <v>5.172413793103448</v>
      </c>
      <c r="I160" s="23" t="n">
        <v>4.99</v>
      </c>
    </row>
    <row r="161">
      <c r="A161" s="20" t="n">
        <v>43476</v>
      </c>
      <c r="B161" s="13" t="n">
        <v>4.37</v>
      </c>
      <c r="C161" s="12" t="n">
        <v>87</v>
      </c>
      <c r="D161" s="13" t="n">
        <v>17.4</v>
      </c>
      <c r="E161" s="13" t="n">
        <v>30.45</v>
      </c>
      <c r="F161" s="12" t="n">
        <v>40</v>
      </c>
      <c r="G161" s="13" t="n">
        <v>13.33333333333334</v>
      </c>
      <c r="H161" s="21" t="n">
        <v>5.022988505747127</v>
      </c>
      <c r="I161" s="21" t="n">
        <v>5.01</v>
      </c>
    </row>
    <row r="162">
      <c r="A162" s="22" t="n">
        <v>43483</v>
      </c>
      <c r="B162" s="17" t="n">
        <v>4.31</v>
      </c>
      <c r="C162" s="16" t="n">
        <v>87</v>
      </c>
      <c r="D162" s="17" t="n">
        <v>17.4</v>
      </c>
      <c r="E162" s="17" t="n">
        <v>30.45</v>
      </c>
      <c r="F162" s="16" t="n">
        <v>40</v>
      </c>
      <c r="G162" s="17" t="n">
        <v>13.33333333333334</v>
      </c>
      <c r="H162" s="23" t="n">
        <v>4.954022988505747</v>
      </c>
      <c r="I162" s="23" t="n">
        <v>5.01</v>
      </c>
    </row>
    <row r="163">
      <c r="A163" s="20" t="n">
        <v>43490</v>
      </c>
      <c r="B163" s="13" t="n">
        <v>4.34</v>
      </c>
      <c r="C163" s="12" t="n">
        <v>87</v>
      </c>
      <c r="D163" s="13" t="n">
        <v>17.4</v>
      </c>
      <c r="E163" s="13" t="n">
        <v>30.45</v>
      </c>
      <c r="F163" s="12" t="n">
        <v>40</v>
      </c>
      <c r="G163" s="13" t="n">
        <v>13.33333333333334</v>
      </c>
      <c r="H163" s="21" t="n">
        <v>4.988505747126436</v>
      </c>
      <c r="I163" s="21" t="n">
        <v>5</v>
      </c>
    </row>
    <row r="164">
      <c r="A164" s="22" t="n">
        <v>43497</v>
      </c>
      <c r="B164" s="17" t="n">
        <v>4.38</v>
      </c>
      <c r="C164" s="16" t="n">
        <v>87</v>
      </c>
      <c r="D164" s="17" t="n">
        <v>17.4</v>
      </c>
      <c r="E164" s="17" t="n">
        <v>30.45</v>
      </c>
      <c r="F164" s="16" t="n">
        <v>40</v>
      </c>
      <c r="G164" s="17" t="n">
        <v>13.33333333333334</v>
      </c>
      <c r="H164" s="23" t="n">
        <v>5.03448275862069</v>
      </c>
      <c r="I164" s="23" t="n">
        <v>5.01</v>
      </c>
    </row>
    <row r="165">
      <c r="A165" s="20" t="n">
        <v>43504</v>
      </c>
      <c r="B165" s="13" t="n">
        <v>4.67</v>
      </c>
      <c r="C165" s="12" t="n">
        <v>87</v>
      </c>
      <c r="D165" s="13" t="n">
        <v>17.4</v>
      </c>
      <c r="E165" s="13" t="n">
        <v>30.45</v>
      </c>
      <c r="F165" s="12" t="n">
        <v>40</v>
      </c>
      <c r="G165" s="13" t="n">
        <v>13.33333333333334</v>
      </c>
      <c r="H165" s="21" t="n">
        <v>5.367816091954023</v>
      </c>
      <c r="I165" s="21" t="n">
        <v>5.04</v>
      </c>
    </row>
    <row r="166">
      <c r="A166" s="22" t="n">
        <v>43511</v>
      </c>
      <c r="B166" s="17" t="n">
        <v>4.39</v>
      </c>
      <c r="C166" s="16" t="n">
        <v>88.5</v>
      </c>
      <c r="D166" s="17" t="n">
        <v>17.7</v>
      </c>
      <c r="E166" s="17" t="n">
        <v>30.975</v>
      </c>
      <c r="F166" s="16" t="n">
        <v>41.5</v>
      </c>
      <c r="G166" s="17" t="n">
        <v>13.83333333333334</v>
      </c>
      <c r="H166" s="23" t="n">
        <v>4.96045197740113</v>
      </c>
      <c r="I166" s="23" t="n">
        <v>5.05</v>
      </c>
    </row>
    <row r="167">
      <c r="A167" s="20" t="n">
        <v>43518</v>
      </c>
      <c r="B167" s="13" t="n">
        <v>4.56</v>
      </c>
      <c r="C167" s="12" t="n">
        <v>88.5</v>
      </c>
      <c r="D167" s="13" t="n">
        <v>17.7</v>
      </c>
      <c r="E167" s="13" t="n">
        <v>30.975</v>
      </c>
      <c r="F167" s="12" t="n">
        <v>41.5</v>
      </c>
      <c r="G167" s="13" t="n">
        <v>13.83333333333334</v>
      </c>
      <c r="H167" s="21" t="n">
        <v>5.152542372881356</v>
      </c>
      <c r="I167" s="21" t="n">
        <v>5.08</v>
      </c>
    </row>
    <row r="168">
      <c r="A168" s="22" t="n">
        <v>43525</v>
      </c>
      <c r="B168" s="17" t="n">
        <v>4.4</v>
      </c>
      <c r="C168" s="16" t="n">
        <v>88.5</v>
      </c>
      <c r="D168" s="17" t="n">
        <v>17.7</v>
      </c>
      <c r="E168" s="17" t="n">
        <v>30.975</v>
      </c>
      <c r="F168" s="16" t="n">
        <v>41.5</v>
      </c>
      <c r="G168" s="17" t="n">
        <v>13.83333333333334</v>
      </c>
      <c r="H168" s="23" t="n">
        <v>4.971751412429379</v>
      </c>
      <c r="I168" s="23" t="n">
        <v>5.08</v>
      </c>
    </row>
    <row r="169">
      <c r="A169" s="20" t="n">
        <v>43532</v>
      </c>
      <c r="B169" s="13" t="n">
        <v>4.59</v>
      </c>
      <c r="C169" s="12" t="n">
        <v>88.5</v>
      </c>
      <c r="D169" s="13" t="n">
        <v>17.7</v>
      </c>
      <c r="E169" s="13" t="n">
        <v>30.975</v>
      </c>
      <c r="F169" s="12" t="n">
        <v>41.5</v>
      </c>
      <c r="G169" s="13" t="n">
        <v>13.83333333333334</v>
      </c>
      <c r="H169" s="21" t="n">
        <v>5.186440677966101</v>
      </c>
      <c r="I169" s="21" t="n">
        <v>5.09</v>
      </c>
    </row>
    <row r="170">
      <c r="A170" s="22" t="n">
        <v>43539</v>
      </c>
      <c r="B170" s="17" t="n">
        <v>4.55</v>
      </c>
      <c r="C170" s="16" t="n">
        <v>88.5</v>
      </c>
      <c r="D170" s="17" t="n">
        <v>17.7</v>
      </c>
      <c r="E170" s="17" t="n">
        <v>30.975</v>
      </c>
      <c r="F170" s="16" t="n">
        <v>41.5</v>
      </c>
      <c r="G170" s="17" t="n">
        <v>13.83333333333334</v>
      </c>
      <c r="H170" s="23" t="n">
        <v>5.141242937853107</v>
      </c>
      <c r="I170" s="23" t="n">
        <v>5.09</v>
      </c>
    </row>
    <row r="171">
      <c r="A171" s="20" t="n">
        <v>43546</v>
      </c>
      <c r="B171" s="13" t="n">
        <v>4.5</v>
      </c>
      <c r="C171" s="12" t="n">
        <v>88.5</v>
      </c>
      <c r="D171" s="13" t="n">
        <v>17.7</v>
      </c>
      <c r="E171" s="13" t="n">
        <v>30.975</v>
      </c>
      <c r="F171" s="12" t="n">
        <v>41.5</v>
      </c>
      <c r="G171" s="13" t="n">
        <v>13.83333333333334</v>
      </c>
      <c r="H171" s="21" t="n">
        <v>5.084745762711864</v>
      </c>
      <c r="I171" s="21" t="n">
        <v>5.09</v>
      </c>
    </row>
    <row r="172">
      <c r="A172" s="22" t="n">
        <v>43553</v>
      </c>
      <c r="B172" s="17" t="n">
        <v>4.52</v>
      </c>
      <c r="C172" s="16" t="n">
        <v>88.5</v>
      </c>
      <c r="D172" s="17" t="n">
        <v>17.7</v>
      </c>
      <c r="E172" s="17" t="n">
        <v>30.975</v>
      </c>
      <c r="F172" s="16" t="n">
        <v>41.5</v>
      </c>
      <c r="G172" s="17" t="n">
        <v>13.83333333333334</v>
      </c>
      <c r="H172" s="23" t="n">
        <v>5.107344632768361</v>
      </c>
      <c r="I172" s="23" t="n">
        <v>5.08</v>
      </c>
    </row>
    <row r="173">
      <c r="A173" s="20" t="n">
        <v>43560</v>
      </c>
      <c r="B173" s="13" t="n">
        <v>4.47</v>
      </c>
      <c r="C173" s="12" t="n">
        <v>88.5</v>
      </c>
      <c r="D173" s="13" t="n">
        <v>17.7</v>
      </c>
      <c r="E173" s="13" t="n">
        <v>30.975</v>
      </c>
      <c r="F173" s="12" t="n">
        <v>41.5</v>
      </c>
      <c r="G173" s="13" t="n">
        <v>13.83333333333334</v>
      </c>
      <c r="H173" s="21" t="n">
        <v>5.050847457627119</v>
      </c>
      <c r="I173" s="21" t="n">
        <v>5.08</v>
      </c>
    </row>
    <row r="174">
      <c r="A174" s="22" t="n">
        <v>43567</v>
      </c>
      <c r="B174" s="17" t="n">
        <v>4.59</v>
      </c>
      <c r="C174" s="16" t="n">
        <v>88.5</v>
      </c>
      <c r="D174" s="17" t="n">
        <v>17.7</v>
      </c>
      <c r="E174" s="17" t="n">
        <v>30.975</v>
      </c>
      <c r="F174" s="16" t="n">
        <v>41.5</v>
      </c>
      <c r="G174" s="17" t="n">
        <v>13.83333333333334</v>
      </c>
      <c r="H174" s="23" t="n">
        <v>5.186440677966101</v>
      </c>
      <c r="I174" s="23" t="n">
        <v>5.1</v>
      </c>
    </row>
    <row r="175">
      <c r="A175" s="20" t="n">
        <v>43574</v>
      </c>
      <c r="B175" s="13" t="n">
        <v>4.51</v>
      </c>
      <c r="C175" s="12" t="n">
        <v>88.5</v>
      </c>
      <c r="D175" s="13" t="n">
        <v>17.7</v>
      </c>
      <c r="E175" s="13" t="n">
        <v>30.975</v>
      </c>
      <c r="F175" s="12" t="n">
        <v>41.5</v>
      </c>
      <c r="G175" s="13" t="n">
        <v>13.83333333333334</v>
      </c>
      <c r="H175" s="21" t="n">
        <v>5.096045197740112</v>
      </c>
      <c r="I175" s="21" t="n">
        <v>5.11</v>
      </c>
    </row>
    <row r="176">
      <c r="A176" s="22" t="n">
        <v>43581</v>
      </c>
      <c r="B176" s="17" t="n">
        <v>4.44</v>
      </c>
      <c r="C176" s="16" t="n">
        <v>88.5</v>
      </c>
      <c r="D176" s="17" t="n">
        <v>17.7</v>
      </c>
      <c r="E176" s="17" t="n">
        <v>30.975</v>
      </c>
      <c r="F176" s="16" t="n">
        <v>41.5</v>
      </c>
      <c r="G176" s="17" t="n">
        <v>13.83333333333334</v>
      </c>
      <c r="H176" s="23" t="n">
        <v>5.016949152542373</v>
      </c>
      <c r="I176" s="23" t="n">
        <v>5.11</v>
      </c>
    </row>
    <row r="177">
      <c r="A177" s="20" t="n">
        <v>43588</v>
      </c>
      <c r="B177" s="13" t="n">
        <v>4.45</v>
      </c>
      <c r="C177" s="12" t="n">
        <v>88.5</v>
      </c>
      <c r="D177" s="13" t="n">
        <v>17.7</v>
      </c>
      <c r="E177" s="13" t="n">
        <v>30.975</v>
      </c>
      <c r="F177" s="12" t="n">
        <v>41.5</v>
      </c>
      <c r="G177" s="13" t="n">
        <v>13.83333333333334</v>
      </c>
      <c r="H177" s="21" t="n">
        <v>5.028248587570622</v>
      </c>
      <c r="I177" s="21" t="n">
        <v>5.08</v>
      </c>
    </row>
    <row r="178">
      <c r="A178" s="22" t="n">
        <v>43595</v>
      </c>
      <c r="B178" s="17" t="n">
        <v>4.6</v>
      </c>
      <c r="C178" s="16" t="n">
        <v>88.5</v>
      </c>
      <c r="D178" s="17" t="n">
        <v>17.7</v>
      </c>
      <c r="E178" s="17" t="n">
        <v>30.975</v>
      </c>
      <c r="F178" s="16" t="n">
        <v>41.5</v>
      </c>
      <c r="G178" s="17" t="n">
        <v>13.83333333333334</v>
      </c>
      <c r="H178" s="23" t="n">
        <v>5.197740112994349</v>
      </c>
      <c r="I178" s="23" t="n">
        <v>5.1</v>
      </c>
    </row>
    <row r="179">
      <c r="A179" s="20" t="n">
        <v>43602</v>
      </c>
      <c r="B179" s="13" t="n">
        <v>4.75</v>
      </c>
      <c r="C179" s="12" t="n">
        <v>88.5</v>
      </c>
      <c r="D179" s="13" t="n">
        <v>17.7</v>
      </c>
      <c r="E179" s="13" t="n">
        <v>30.975</v>
      </c>
      <c r="F179" s="12" t="n">
        <v>41.5</v>
      </c>
      <c r="G179" s="13" t="n">
        <v>13.83333333333334</v>
      </c>
      <c r="H179" s="21" t="n">
        <v>5.367231638418079</v>
      </c>
      <c r="I179" s="21" t="n">
        <v>5.12</v>
      </c>
    </row>
    <row r="180">
      <c r="A180" s="22" t="n">
        <v>43609</v>
      </c>
      <c r="B180" s="17" t="n">
        <v>4.62</v>
      </c>
      <c r="C180" s="16" t="n">
        <v>88.5</v>
      </c>
      <c r="D180" s="17" t="n">
        <v>17.7</v>
      </c>
      <c r="E180" s="17" t="n">
        <v>30.975</v>
      </c>
      <c r="F180" s="16" t="n">
        <v>41.5</v>
      </c>
      <c r="G180" s="17" t="n">
        <v>13.83333333333334</v>
      </c>
      <c r="H180" s="23" t="n">
        <v>5.220338983050848</v>
      </c>
      <c r="I180" s="23" t="n">
        <v>5.14</v>
      </c>
    </row>
    <row r="181">
      <c r="A181" s="20" t="n">
        <v>43616</v>
      </c>
      <c r="B181" s="13" t="n">
        <v>4.6</v>
      </c>
      <c r="C181" s="12" t="n">
        <v>88.5</v>
      </c>
      <c r="D181" s="13" t="n">
        <v>17.7</v>
      </c>
      <c r="E181" s="13" t="n">
        <v>30.975</v>
      </c>
      <c r="F181" s="12" t="n">
        <v>41.5</v>
      </c>
      <c r="G181" s="13" t="n">
        <v>13.83333333333334</v>
      </c>
      <c r="H181" s="21" t="n">
        <v>5.197740112994349</v>
      </c>
      <c r="I181" s="21" t="n">
        <v>5.14</v>
      </c>
    </row>
    <row r="182">
      <c r="A182" s="22" t="n">
        <v>43623</v>
      </c>
      <c r="B182" s="17" t="n">
        <v>4.65</v>
      </c>
      <c r="C182" s="16" t="n">
        <v>88.5</v>
      </c>
      <c r="D182" s="17" t="n">
        <v>17.7</v>
      </c>
      <c r="E182" s="17" t="n">
        <v>30.975</v>
      </c>
      <c r="F182" s="16" t="n">
        <v>41.5</v>
      </c>
      <c r="G182" s="17" t="n">
        <v>13.83333333333334</v>
      </c>
      <c r="H182" s="23" t="n">
        <v>5.254237288135593</v>
      </c>
      <c r="I182" s="23" t="n">
        <v>5.15</v>
      </c>
    </row>
    <row r="183">
      <c r="A183" s="20" t="n">
        <v>43630</v>
      </c>
      <c r="B183" s="13" t="n">
        <v>4.76</v>
      </c>
      <c r="C183" s="12" t="n">
        <v>88.5</v>
      </c>
      <c r="D183" s="13" t="n">
        <v>17.7</v>
      </c>
      <c r="E183" s="13" t="n">
        <v>30.975</v>
      </c>
      <c r="F183" s="12" t="n">
        <v>41.5</v>
      </c>
      <c r="G183" s="13" t="n">
        <v>13.83333333333334</v>
      </c>
      <c r="H183" s="21" t="n">
        <v>5.378531073446327</v>
      </c>
      <c r="I183" s="21" t="n">
        <v>5.18</v>
      </c>
    </row>
    <row r="184">
      <c r="A184" s="22" t="n">
        <v>43637</v>
      </c>
      <c r="B184" s="17" t="n">
        <v>4.66</v>
      </c>
      <c r="C184" s="16" t="n">
        <v>88.5</v>
      </c>
      <c r="D184" s="17" t="n">
        <v>17.7</v>
      </c>
      <c r="E184" s="17" t="n">
        <v>30.975</v>
      </c>
      <c r="F184" s="16" t="n">
        <v>41.5</v>
      </c>
      <c r="G184" s="17" t="n">
        <v>13.83333333333334</v>
      </c>
      <c r="H184" s="23" t="n">
        <v>5.265536723163842</v>
      </c>
      <c r="I184" s="23" t="n">
        <v>5.19</v>
      </c>
    </row>
    <row r="185">
      <c r="A185" s="20" t="n">
        <v>43644</v>
      </c>
      <c r="B185" s="13" t="n">
        <v>4.6</v>
      </c>
      <c r="C185" s="12" t="n">
        <v>88.5</v>
      </c>
      <c r="D185" s="13" t="n">
        <v>17.7</v>
      </c>
      <c r="E185" s="13" t="n">
        <v>30.975</v>
      </c>
      <c r="F185" s="12" t="n">
        <v>41.5</v>
      </c>
      <c r="G185" s="13" t="n">
        <v>13.83333333333334</v>
      </c>
      <c r="H185" s="21" t="n">
        <v>5.197740112994349</v>
      </c>
      <c r="I185" s="21" t="n">
        <v>5.2</v>
      </c>
    </row>
    <row r="186">
      <c r="A186" s="22" t="n">
        <v>43651</v>
      </c>
      <c r="B186" s="17" t="n">
        <v>4.76</v>
      </c>
      <c r="C186" s="16" t="n">
        <v>88.5</v>
      </c>
      <c r="D186" s="17" t="n">
        <v>17.7</v>
      </c>
      <c r="E186" s="17" t="n">
        <v>30.975</v>
      </c>
      <c r="F186" s="16" t="n">
        <v>41.5</v>
      </c>
      <c r="G186" s="17" t="n">
        <v>13.83333333333334</v>
      </c>
      <c r="H186" s="23" t="n">
        <v>5.378531073446327</v>
      </c>
      <c r="I186" s="23" t="n">
        <v>5.22</v>
      </c>
    </row>
    <row r="187">
      <c r="A187" s="20" t="n">
        <v>43658</v>
      </c>
      <c r="B187" s="13" t="n">
        <v>4.7</v>
      </c>
      <c r="C187" s="12" t="n">
        <v>88.5</v>
      </c>
      <c r="D187" s="13" t="n">
        <v>17.7</v>
      </c>
      <c r="E187" s="13" t="n">
        <v>30.975</v>
      </c>
      <c r="F187" s="12" t="n">
        <v>41.5</v>
      </c>
      <c r="G187" s="13" t="n">
        <v>13.83333333333334</v>
      </c>
      <c r="H187" s="21" t="n">
        <v>5.310734463276837</v>
      </c>
      <c r="I187" s="21" t="n">
        <v>5.23</v>
      </c>
    </row>
    <row r="188">
      <c r="A188" s="22" t="n">
        <v>43665</v>
      </c>
      <c r="B188" s="17" t="n">
        <v>4.82</v>
      </c>
      <c r="C188" s="16" t="n">
        <v>88.5</v>
      </c>
      <c r="D188" s="17" t="n">
        <v>17.7</v>
      </c>
      <c r="E188" s="17" t="n">
        <v>30.975</v>
      </c>
      <c r="F188" s="16" t="n">
        <v>41.5</v>
      </c>
      <c r="G188" s="17" t="n">
        <v>13.83333333333334</v>
      </c>
      <c r="H188" s="23" t="n">
        <v>5.446327683615819</v>
      </c>
      <c r="I188" s="23" t="n">
        <v>5.27</v>
      </c>
    </row>
    <row r="189">
      <c r="A189" s="20" t="n">
        <v>43672</v>
      </c>
      <c r="B189" s="13" t="n">
        <v>4.7</v>
      </c>
      <c r="C189" s="12" t="n">
        <v>88.5</v>
      </c>
      <c r="D189" s="13" t="n">
        <v>17.7</v>
      </c>
      <c r="E189" s="13" t="n">
        <v>30.975</v>
      </c>
      <c r="F189" s="12" t="n">
        <v>41.5</v>
      </c>
      <c r="G189" s="13" t="n">
        <v>13.83333333333334</v>
      </c>
      <c r="H189" s="21" t="n">
        <v>5.310734463276837</v>
      </c>
      <c r="I189" s="21" t="n">
        <v>5.29</v>
      </c>
    </row>
    <row r="190">
      <c r="A190" s="22" t="n">
        <v>43679</v>
      </c>
      <c r="B190" s="17" t="n">
        <v>4.56</v>
      </c>
      <c r="C190" s="16" t="n">
        <v>88.5</v>
      </c>
      <c r="D190" s="17" t="n">
        <v>17.7</v>
      </c>
      <c r="E190" s="17" t="n">
        <v>30.975</v>
      </c>
      <c r="F190" s="16" t="n">
        <v>41.5</v>
      </c>
      <c r="G190" s="17" t="n">
        <v>13.83333333333334</v>
      </c>
      <c r="H190" s="23" t="n">
        <v>5.152542372881356</v>
      </c>
      <c r="I190" s="23" t="n">
        <v>5.29</v>
      </c>
    </row>
    <row r="191">
      <c r="A191" s="20" t="n">
        <v>43686</v>
      </c>
      <c r="B191" s="13" t="n">
        <v>4.56</v>
      </c>
      <c r="C191" s="12" t="n">
        <v>88.5</v>
      </c>
      <c r="D191" s="13" t="n">
        <v>17.7</v>
      </c>
      <c r="E191" s="13" t="n">
        <v>30.975</v>
      </c>
      <c r="F191" s="12" t="n">
        <v>41.5</v>
      </c>
      <c r="G191" s="13" t="n">
        <v>13.83333333333334</v>
      </c>
      <c r="H191" s="21" t="n">
        <v>5.152542372881356</v>
      </c>
      <c r="I191" s="21" t="n">
        <v>5.27</v>
      </c>
    </row>
    <row r="192">
      <c r="A192" s="22" t="n">
        <v>43693</v>
      </c>
      <c r="B192" s="17" t="n">
        <v>4.87</v>
      </c>
      <c r="C192" s="16" t="n">
        <v>95</v>
      </c>
      <c r="D192" s="17" t="n">
        <v>19</v>
      </c>
      <c r="E192" s="17" t="n">
        <v>33.25</v>
      </c>
      <c r="F192" s="16" t="n">
        <v>44</v>
      </c>
      <c r="G192" s="17" t="n">
        <v>14.66666666666667</v>
      </c>
      <c r="H192" s="23" t="n">
        <v>5.126315789473685</v>
      </c>
      <c r="I192" s="23" t="n">
        <v>5.26</v>
      </c>
    </row>
    <row r="193">
      <c r="A193" s="20" t="n">
        <v>43700</v>
      </c>
      <c r="B193" s="13" t="n">
        <v>4.88</v>
      </c>
      <c r="C193" s="12" t="n">
        <v>95</v>
      </c>
      <c r="D193" s="13" t="n">
        <v>19</v>
      </c>
      <c r="E193" s="13" t="n">
        <v>33.25</v>
      </c>
      <c r="F193" s="12" t="n">
        <v>44</v>
      </c>
      <c r="G193" s="13" t="n">
        <v>14.66666666666667</v>
      </c>
      <c r="H193" s="21" t="n">
        <v>5.136842105263158</v>
      </c>
      <c r="I193" s="21" t="n">
        <v>5.26</v>
      </c>
    </row>
    <row r="194">
      <c r="A194" s="22" t="n">
        <v>43707</v>
      </c>
      <c r="B194" s="17" t="n">
        <v>4.7</v>
      </c>
      <c r="C194" s="16" t="n">
        <v>95</v>
      </c>
      <c r="D194" s="17" t="n">
        <v>19</v>
      </c>
      <c r="E194" s="17" t="n">
        <v>33.25</v>
      </c>
      <c r="F194" s="16" t="n">
        <v>44</v>
      </c>
      <c r="G194" s="17" t="n">
        <v>14.66666666666667</v>
      </c>
      <c r="H194" s="23" t="n">
        <v>4.947368421052632</v>
      </c>
      <c r="I194" s="23" t="n">
        <v>5.23</v>
      </c>
    </row>
    <row r="195">
      <c r="A195" s="20" t="n">
        <v>43714</v>
      </c>
      <c r="B195" s="13" t="n">
        <v>4.69</v>
      </c>
      <c r="C195" s="12" t="n">
        <v>95</v>
      </c>
      <c r="D195" s="13" t="n">
        <v>19</v>
      </c>
      <c r="E195" s="13" t="n">
        <v>33.25</v>
      </c>
      <c r="F195" s="12" t="n">
        <v>44</v>
      </c>
      <c r="G195" s="13" t="n">
        <v>14.66666666666667</v>
      </c>
      <c r="H195" s="21" t="n">
        <v>4.936842105263159</v>
      </c>
      <c r="I195" s="21" t="n">
        <v>5.2</v>
      </c>
    </row>
    <row r="196">
      <c r="A196" s="22" t="n">
        <v>43721</v>
      </c>
      <c r="B196" s="17" t="n">
        <v>4.88</v>
      </c>
      <c r="C196" s="16" t="n">
        <v>95</v>
      </c>
      <c r="D196" s="17" t="n">
        <v>19</v>
      </c>
      <c r="E196" s="17" t="n">
        <v>33.25</v>
      </c>
      <c r="F196" s="16" t="n">
        <v>44</v>
      </c>
      <c r="G196" s="17" t="n">
        <v>14.66666666666667</v>
      </c>
      <c r="H196" s="23" t="n">
        <v>5.136842105263158</v>
      </c>
      <c r="I196" s="23" t="n">
        <v>5.19</v>
      </c>
    </row>
    <row r="197">
      <c r="A197" s="20" t="n">
        <v>43728</v>
      </c>
      <c r="B197" s="13" t="n">
        <v>4.63</v>
      </c>
      <c r="C197" s="12" t="n">
        <v>95</v>
      </c>
      <c r="D197" s="13" t="n">
        <v>19</v>
      </c>
      <c r="E197" s="13" t="n">
        <v>33.25</v>
      </c>
      <c r="F197" s="12" t="n">
        <v>44</v>
      </c>
      <c r="G197" s="13" t="n">
        <v>14.66666666666667</v>
      </c>
      <c r="H197" s="21" t="n">
        <v>4.873684210526316</v>
      </c>
      <c r="I197" s="21" t="n">
        <v>5.16</v>
      </c>
    </row>
    <row r="198">
      <c r="A198" s="22" t="n">
        <v>43735</v>
      </c>
      <c r="B198" s="17" t="n">
        <v>4.66</v>
      </c>
      <c r="C198" s="16" t="n">
        <v>95</v>
      </c>
      <c r="D198" s="17" t="n">
        <v>19</v>
      </c>
      <c r="E198" s="17" t="n">
        <v>33.25</v>
      </c>
      <c r="F198" s="16" t="n">
        <v>44</v>
      </c>
      <c r="G198" s="17" t="n">
        <v>14.66666666666667</v>
      </c>
      <c r="H198" s="23" t="n">
        <v>4.905263157894737</v>
      </c>
      <c r="I198" s="23" t="n">
        <v>5.12</v>
      </c>
    </row>
    <row r="199">
      <c r="A199" s="20" t="n">
        <v>43742</v>
      </c>
      <c r="B199" s="13" t="n">
        <v>4.82</v>
      </c>
      <c r="C199" s="12" t="n">
        <v>95</v>
      </c>
      <c r="D199" s="13" t="n">
        <v>19</v>
      </c>
      <c r="E199" s="13" t="n">
        <v>33.25</v>
      </c>
      <c r="F199" s="12" t="n">
        <v>44</v>
      </c>
      <c r="G199" s="13" t="n">
        <v>14.66666666666667</v>
      </c>
      <c r="H199" s="21" t="n">
        <v>5.073684210526316</v>
      </c>
      <c r="I199" s="21" t="n">
        <v>5.1</v>
      </c>
    </row>
    <row r="200">
      <c r="A200" s="22" t="n">
        <v>43749</v>
      </c>
      <c r="B200" s="17" t="n">
        <v>4.72</v>
      </c>
      <c r="C200" s="16" t="n">
        <v>95</v>
      </c>
      <c r="D200" s="17" t="n">
        <v>19</v>
      </c>
      <c r="E200" s="17" t="n">
        <v>33.25</v>
      </c>
      <c r="F200" s="16" t="n">
        <v>44</v>
      </c>
      <c r="G200" s="17" t="n">
        <v>14.66666666666667</v>
      </c>
      <c r="H200" s="23" t="n">
        <v>4.968421052631579</v>
      </c>
      <c r="I200" s="23" t="n">
        <v>5.06</v>
      </c>
    </row>
    <row r="201">
      <c r="A201" s="20" t="n">
        <v>43756</v>
      </c>
      <c r="B201" s="13" t="n">
        <v>4.77</v>
      </c>
      <c r="C201" s="12" t="n">
        <v>95</v>
      </c>
      <c r="D201" s="13" t="n">
        <v>19</v>
      </c>
      <c r="E201" s="13" t="n">
        <v>33.25</v>
      </c>
      <c r="F201" s="12" t="n">
        <v>44</v>
      </c>
      <c r="G201" s="13" t="n">
        <v>14.66666666666667</v>
      </c>
      <c r="H201" s="21" t="n">
        <v>5.021052631578947</v>
      </c>
      <c r="I201" s="21" t="n">
        <v>5.04</v>
      </c>
    </row>
    <row r="202">
      <c r="A202" s="22" t="n">
        <v>43763</v>
      </c>
      <c r="B202" s="17" t="n">
        <v>4.76</v>
      </c>
      <c r="C202" s="16" t="n">
        <v>95</v>
      </c>
      <c r="D202" s="17" t="n">
        <v>19</v>
      </c>
      <c r="E202" s="17" t="n">
        <v>33.25</v>
      </c>
      <c r="F202" s="16" t="n">
        <v>44</v>
      </c>
      <c r="G202" s="17" t="n">
        <v>14.66666666666667</v>
      </c>
      <c r="H202" s="23" t="n">
        <v>5.010526315789473</v>
      </c>
      <c r="I202" s="23" t="n">
        <v>5.02</v>
      </c>
    </row>
    <row r="203">
      <c r="A203" s="20" t="n">
        <v>43770</v>
      </c>
      <c r="B203" s="13" t="n">
        <v>4.81</v>
      </c>
      <c r="C203" s="12" t="n">
        <v>95</v>
      </c>
      <c r="D203" s="13" t="n">
        <v>19</v>
      </c>
      <c r="E203" s="13" t="n">
        <v>33.25</v>
      </c>
      <c r="F203" s="12" t="n">
        <v>44</v>
      </c>
      <c r="G203" s="13" t="n">
        <v>14.66666666666667</v>
      </c>
      <c r="H203" s="21" t="n">
        <v>5.063157894736842</v>
      </c>
      <c r="I203" s="21" t="n">
        <v>5.02</v>
      </c>
    </row>
    <row r="204">
      <c r="A204" s="22" t="n">
        <v>43777</v>
      </c>
      <c r="B204" s="17" t="n">
        <v>4.93</v>
      </c>
      <c r="C204" s="16" t="n">
        <v>95</v>
      </c>
      <c r="D204" s="17" t="n">
        <v>19</v>
      </c>
      <c r="E204" s="17" t="n">
        <v>33.25</v>
      </c>
      <c r="F204" s="16" t="n">
        <v>44</v>
      </c>
      <c r="G204" s="17" t="n">
        <v>14.66666666666667</v>
      </c>
      <c r="H204" s="23" t="n">
        <v>5.189473684210526</v>
      </c>
      <c r="I204" s="23" t="n">
        <v>5.02</v>
      </c>
    </row>
    <row r="205">
      <c r="A205" s="20" t="n">
        <v>43784</v>
      </c>
      <c r="B205" s="13" t="n">
        <v>4.8</v>
      </c>
      <c r="C205" s="12" t="n">
        <v>95</v>
      </c>
      <c r="D205" s="13" t="n">
        <v>19</v>
      </c>
      <c r="E205" s="13" t="n">
        <v>33.25</v>
      </c>
      <c r="F205" s="12" t="n">
        <v>44</v>
      </c>
      <c r="G205" s="13" t="n">
        <v>14.66666666666667</v>
      </c>
      <c r="H205" s="21" t="n">
        <v>5.052631578947368</v>
      </c>
      <c r="I205" s="21" t="n">
        <v>5.01</v>
      </c>
    </row>
    <row r="206">
      <c r="A206" s="22" t="n">
        <v>43791</v>
      </c>
      <c r="B206" s="17" t="n">
        <v>4.86</v>
      </c>
      <c r="C206" s="16" t="n">
        <v>95</v>
      </c>
      <c r="D206" s="17" t="n">
        <v>19</v>
      </c>
      <c r="E206" s="17" t="n">
        <v>33.25</v>
      </c>
      <c r="F206" s="16" t="n">
        <v>44</v>
      </c>
      <c r="G206" s="17" t="n">
        <v>14.66666666666667</v>
      </c>
      <c r="H206" s="23" t="n">
        <v>5.115789473684211</v>
      </c>
      <c r="I206" s="23" t="n">
        <v>5.03</v>
      </c>
    </row>
    <row r="207">
      <c r="A207" s="20" t="n">
        <v>43798</v>
      </c>
      <c r="B207" s="13" t="n">
        <v>4.6</v>
      </c>
      <c r="C207" s="12" t="n">
        <v>95</v>
      </c>
      <c r="D207" s="13" t="n">
        <v>19</v>
      </c>
      <c r="E207" s="13" t="n">
        <v>33.25</v>
      </c>
      <c r="F207" s="12" t="n">
        <v>44</v>
      </c>
      <c r="G207" s="13" t="n">
        <v>14.66666666666667</v>
      </c>
      <c r="H207" s="21" t="n">
        <v>4.842105263157895</v>
      </c>
      <c r="I207" s="21" t="n">
        <v>5.02</v>
      </c>
    </row>
    <row r="208">
      <c r="A208" s="22" t="n">
        <v>43805</v>
      </c>
      <c r="B208" s="17" t="n">
        <v>4.81</v>
      </c>
      <c r="C208" s="16" t="n">
        <v>95</v>
      </c>
      <c r="D208" s="17" t="n">
        <v>19</v>
      </c>
      <c r="E208" s="17" t="n">
        <v>33.25</v>
      </c>
      <c r="F208" s="16" t="n">
        <v>44</v>
      </c>
      <c r="G208" s="17" t="n">
        <v>14.66666666666667</v>
      </c>
      <c r="H208" s="23" t="n">
        <v>5.063157894736842</v>
      </c>
      <c r="I208" s="23" t="n">
        <v>5.01</v>
      </c>
    </row>
    <row r="209">
      <c r="A209" s="20" t="n">
        <v>43812</v>
      </c>
      <c r="B209" s="13" t="n">
        <v>4.73</v>
      </c>
      <c r="C209" s="12" t="n">
        <v>95</v>
      </c>
      <c r="D209" s="13" t="n">
        <v>19</v>
      </c>
      <c r="E209" s="13" t="n">
        <v>33.25</v>
      </c>
      <c r="F209" s="12" t="n">
        <v>44</v>
      </c>
      <c r="G209" s="13" t="n">
        <v>14.66666666666667</v>
      </c>
      <c r="H209" s="21" t="n">
        <v>4.978947368421053</v>
      </c>
      <c r="I209" s="21" t="n">
        <v>5.02</v>
      </c>
    </row>
    <row r="210">
      <c r="A210" s="22" t="n">
        <v>43819</v>
      </c>
      <c r="B210" s="17" t="n">
        <v>4.7</v>
      </c>
      <c r="C210" s="16" t="n">
        <v>95</v>
      </c>
      <c r="D210" s="17" t="n">
        <v>19</v>
      </c>
      <c r="E210" s="17" t="n">
        <v>33.25</v>
      </c>
      <c r="F210" s="16" t="n">
        <v>44</v>
      </c>
      <c r="G210" s="17" t="n">
        <v>14.66666666666667</v>
      </c>
      <c r="H210" s="23" t="n">
        <v>4.947368421052632</v>
      </c>
      <c r="I210" s="23" t="n">
        <v>5.03</v>
      </c>
    </row>
    <row r="211">
      <c r="A211" s="20" t="n">
        <v>43826</v>
      </c>
      <c r="B211" s="13" t="n">
        <v>4.74</v>
      </c>
      <c r="C211" s="12" t="n">
        <v>95</v>
      </c>
      <c r="D211" s="13" t="n">
        <v>19</v>
      </c>
      <c r="E211" s="13" t="n">
        <v>33.25</v>
      </c>
      <c r="F211" s="12" t="n">
        <v>44</v>
      </c>
      <c r="G211" s="13" t="n">
        <v>14.66666666666667</v>
      </c>
      <c r="H211" s="21" t="n">
        <v>4.989473684210527</v>
      </c>
      <c r="I211" s="21" t="n">
        <v>5.02</v>
      </c>
    </row>
    <row r="212">
      <c r="A212" s="22" t="n">
        <v>43833</v>
      </c>
      <c r="B212" s="17" t="n">
        <v>4.8</v>
      </c>
      <c r="C212" s="16" t="n">
        <v>95</v>
      </c>
      <c r="D212" s="17" t="n">
        <v>19</v>
      </c>
      <c r="E212" s="17" t="n">
        <v>33.25</v>
      </c>
      <c r="F212" s="16" t="n">
        <v>44</v>
      </c>
      <c r="G212" s="17" t="n">
        <v>14.66666666666667</v>
      </c>
      <c r="H212" s="23" t="n">
        <v>5.052631578947368</v>
      </c>
      <c r="I212" s="23" t="n">
        <v>5.03</v>
      </c>
    </row>
    <row r="213">
      <c r="A213" s="20" t="n">
        <v>43840</v>
      </c>
      <c r="B213" s="13" t="n">
        <v>4.93</v>
      </c>
      <c r="C213" s="12" t="n">
        <v>95</v>
      </c>
      <c r="D213" s="13" t="n">
        <v>19</v>
      </c>
      <c r="E213" s="13" t="n">
        <v>33.25</v>
      </c>
      <c r="F213" s="12" t="n">
        <v>44</v>
      </c>
      <c r="G213" s="13" t="n">
        <v>14.66666666666667</v>
      </c>
      <c r="H213" s="21" t="n">
        <v>5.189473684210526</v>
      </c>
      <c r="I213" s="21" t="n">
        <v>5.04</v>
      </c>
    </row>
    <row r="214">
      <c r="A214" s="22" t="n">
        <v>43847</v>
      </c>
      <c r="B214" s="17" t="n">
        <v>4.71</v>
      </c>
      <c r="C214" s="16" t="n">
        <v>95</v>
      </c>
      <c r="D214" s="17" t="n">
        <v>19</v>
      </c>
      <c r="E214" s="17" t="n">
        <v>33.25</v>
      </c>
      <c r="F214" s="16" t="n">
        <v>44</v>
      </c>
      <c r="G214" s="17" t="n">
        <v>14.66666666666667</v>
      </c>
      <c r="H214" s="23" t="n">
        <v>4.957894736842105</v>
      </c>
      <c r="I214" s="23" t="n">
        <v>5.04</v>
      </c>
    </row>
    <row r="215">
      <c r="A215" s="20" t="n">
        <v>43854</v>
      </c>
      <c r="B215" s="13" t="n">
        <v>4.86</v>
      </c>
      <c r="C215" s="12" t="n">
        <v>95</v>
      </c>
      <c r="D215" s="13" t="n">
        <v>19</v>
      </c>
      <c r="E215" s="13" t="n">
        <v>33.25</v>
      </c>
      <c r="F215" s="12" t="n">
        <v>44</v>
      </c>
      <c r="G215" s="13" t="n">
        <v>14.66666666666667</v>
      </c>
      <c r="H215" s="21" t="n">
        <v>5.115789473684211</v>
      </c>
      <c r="I215" s="21" t="n">
        <v>5.04</v>
      </c>
    </row>
    <row r="216">
      <c r="A216" s="22" t="n">
        <v>43861</v>
      </c>
      <c r="B216" s="17" t="n">
        <v>4.81</v>
      </c>
      <c r="C216" s="16" t="n">
        <v>95</v>
      </c>
      <c r="D216" s="17" t="n">
        <v>19</v>
      </c>
      <c r="E216" s="17" t="n">
        <v>33.25</v>
      </c>
      <c r="F216" s="16" t="n">
        <v>44</v>
      </c>
      <c r="G216" s="17" t="n">
        <v>14.66666666666667</v>
      </c>
      <c r="H216" s="23" t="n">
        <v>5.063157894736842</v>
      </c>
      <c r="I216" s="23" t="n">
        <v>5.03</v>
      </c>
    </row>
    <row r="217">
      <c r="A217" s="20" t="n">
        <v>43868</v>
      </c>
      <c r="B217" s="13" t="n">
        <v>4.83</v>
      </c>
      <c r="C217" s="12" t="n">
        <v>95</v>
      </c>
      <c r="D217" s="13" t="n">
        <v>19</v>
      </c>
      <c r="E217" s="13" t="n">
        <v>33.25</v>
      </c>
      <c r="F217" s="12" t="n">
        <v>44</v>
      </c>
      <c r="G217" s="13" t="n">
        <v>14.66666666666667</v>
      </c>
      <c r="H217" s="21" t="n">
        <v>5.08421052631579</v>
      </c>
      <c r="I217" s="21" t="n">
        <v>5.03</v>
      </c>
    </row>
    <row r="218">
      <c r="A218" s="22" t="n">
        <v>43875</v>
      </c>
      <c r="B218" s="17" t="n">
        <v>4.97</v>
      </c>
      <c r="C218" s="16" t="n">
        <v>92</v>
      </c>
      <c r="D218" s="17" t="n">
        <v>18.4</v>
      </c>
      <c r="E218" s="17" t="n">
        <v>32.2</v>
      </c>
      <c r="F218" s="16" t="n">
        <v>43</v>
      </c>
      <c r="G218" s="17" t="n">
        <v>14.33333333333334</v>
      </c>
      <c r="H218" s="23" t="n">
        <v>5.402173913043478</v>
      </c>
      <c r="I218" s="23" t="n">
        <v>5.06</v>
      </c>
    </row>
    <row r="219">
      <c r="A219" s="20" t="n">
        <v>43882</v>
      </c>
      <c r="B219" s="13" t="n">
        <v>4.93</v>
      </c>
      <c r="C219" s="12" t="n">
        <v>92</v>
      </c>
      <c r="D219" s="13" t="n">
        <v>18.4</v>
      </c>
      <c r="E219" s="13" t="n">
        <v>32.2</v>
      </c>
      <c r="F219" s="12" t="n">
        <v>43</v>
      </c>
      <c r="G219" s="13" t="n">
        <v>14.33333333333334</v>
      </c>
      <c r="H219" s="21" t="n">
        <v>5.358695652173912</v>
      </c>
      <c r="I219" s="21" t="n">
        <v>5.1</v>
      </c>
    </row>
    <row r="220">
      <c r="A220" s="22" t="n">
        <v>43889</v>
      </c>
      <c r="B220" s="17" t="n">
        <v>5.01</v>
      </c>
      <c r="C220" s="16" t="n">
        <v>92</v>
      </c>
      <c r="D220" s="17" t="n">
        <v>18.4</v>
      </c>
      <c r="E220" s="17" t="n">
        <v>32.2</v>
      </c>
      <c r="F220" s="16" t="n">
        <v>43</v>
      </c>
      <c r="G220" s="17" t="n">
        <v>14.33333333333334</v>
      </c>
      <c r="H220" s="23" t="n">
        <v>5.445652173913043</v>
      </c>
      <c r="I220" s="23" t="n">
        <v>5.13</v>
      </c>
    </row>
    <row r="221">
      <c r="A221" s="20" t="n">
        <v>43896</v>
      </c>
      <c r="B221" s="13" t="n">
        <v>4.87</v>
      </c>
      <c r="C221" s="12" t="n">
        <v>92</v>
      </c>
      <c r="D221" s="13" t="n">
        <v>18.4</v>
      </c>
      <c r="E221" s="13" t="n">
        <v>32.2</v>
      </c>
      <c r="F221" s="12" t="n">
        <v>43</v>
      </c>
      <c r="G221" s="13" t="n">
        <v>14.33333333333334</v>
      </c>
      <c r="H221" s="21" t="n">
        <v>5.293478260869565</v>
      </c>
      <c r="I221" s="21" t="n">
        <v>5.16</v>
      </c>
    </row>
    <row r="222">
      <c r="A222" s="22" t="n">
        <v>43903</v>
      </c>
      <c r="B222" s="17" t="n">
        <v>4.82</v>
      </c>
      <c r="C222" s="16" t="n">
        <v>92</v>
      </c>
      <c r="D222" s="17" t="n">
        <v>18.4</v>
      </c>
      <c r="E222" s="17" t="n">
        <v>32.2</v>
      </c>
      <c r="F222" s="16" t="n">
        <v>43</v>
      </c>
      <c r="G222" s="17" t="n">
        <v>14.33333333333334</v>
      </c>
      <c r="H222" s="23" t="n">
        <v>5.239130434782608</v>
      </c>
      <c r="I222" s="23" t="n">
        <v>5.18</v>
      </c>
    </row>
    <row r="223">
      <c r="A223" s="20" t="n">
        <v>43910</v>
      </c>
      <c r="B223" s="13" t="n">
        <v>4.87</v>
      </c>
      <c r="C223" s="12" t="n">
        <v>92</v>
      </c>
      <c r="D223" s="13" t="n">
        <v>18.4</v>
      </c>
      <c r="E223" s="13" t="n">
        <v>32.2</v>
      </c>
      <c r="F223" s="12" t="n">
        <v>43</v>
      </c>
      <c r="G223" s="13" t="n">
        <v>14.33333333333334</v>
      </c>
      <c r="H223" s="21" t="n">
        <v>5.293478260869565</v>
      </c>
      <c r="I223" s="21" t="n">
        <v>5.21</v>
      </c>
    </row>
    <row r="224">
      <c r="A224" s="22" t="n">
        <v>43917</v>
      </c>
      <c r="B224" s="17" t="n">
        <v>4.92</v>
      </c>
      <c r="C224" s="16" t="n">
        <v>92</v>
      </c>
      <c r="D224" s="17" t="n">
        <v>18.4</v>
      </c>
      <c r="E224" s="17" t="n">
        <v>32.2</v>
      </c>
      <c r="F224" s="16" t="n">
        <v>43</v>
      </c>
      <c r="G224" s="17" t="n">
        <v>14.33333333333334</v>
      </c>
      <c r="H224" s="23" t="n">
        <v>5.347826086956522</v>
      </c>
      <c r="I224" s="23" t="n">
        <v>5.23</v>
      </c>
    </row>
    <row r="225">
      <c r="A225" s="20" t="n">
        <v>43924</v>
      </c>
      <c r="B225" s="13" t="n">
        <v>4.92</v>
      </c>
      <c r="C225" s="12" t="n">
        <v>92</v>
      </c>
      <c r="D225" s="13" t="n">
        <v>18.4</v>
      </c>
      <c r="E225" s="13" t="n">
        <v>32.2</v>
      </c>
      <c r="F225" s="12" t="n">
        <v>43</v>
      </c>
      <c r="G225" s="13" t="n">
        <v>14.33333333333334</v>
      </c>
      <c r="H225" s="21" t="n">
        <v>5.347826086956522</v>
      </c>
      <c r="I225" s="21" t="n">
        <v>5.25</v>
      </c>
    </row>
    <row r="226">
      <c r="A226" s="22" t="n">
        <v>43931</v>
      </c>
      <c r="B226" s="17" t="n">
        <v>4.8</v>
      </c>
      <c r="C226" s="16" t="n">
        <v>92</v>
      </c>
      <c r="D226" s="17" t="n">
        <v>18.4</v>
      </c>
      <c r="E226" s="17" t="n">
        <v>32.2</v>
      </c>
      <c r="F226" s="16" t="n">
        <v>43</v>
      </c>
      <c r="G226" s="17" t="n">
        <v>14.33333333333334</v>
      </c>
      <c r="H226" s="23" t="n">
        <v>5.217391304347825</v>
      </c>
      <c r="I226" s="23" t="n">
        <v>5.27</v>
      </c>
    </row>
    <row r="227">
      <c r="A227" s="20" t="n">
        <v>43938</v>
      </c>
      <c r="B227" s="13" t="n">
        <v>4.92</v>
      </c>
      <c r="C227" s="12" t="n">
        <v>92</v>
      </c>
      <c r="D227" s="13" t="n">
        <v>18.4</v>
      </c>
      <c r="E227" s="13" t="n">
        <v>32.2</v>
      </c>
      <c r="F227" s="12" t="n">
        <v>43</v>
      </c>
      <c r="G227" s="13" t="n">
        <v>14.33333333333334</v>
      </c>
      <c r="H227" s="21" t="n">
        <v>5.347826086956522</v>
      </c>
      <c r="I227" s="21" t="n">
        <v>5.29</v>
      </c>
    </row>
    <row r="228">
      <c r="A228" s="22" t="n">
        <v>43945</v>
      </c>
      <c r="B228" s="17" t="n">
        <v>4.94</v>
      </c>
      <c r="C228" s="16" t="n">
        <v>92</v>
      </c>
      <c r="D228" s="17" t="n">
        <v>18.4</v>
      </c>
      <c r="E228" s="17" t="n">
        <v>32.2</v>
      </c>
      <c r="F228" s="16" t="n">
        <v>43</v>
      </c>
      <c r="G228" s="17" t="n">
        <v>14.33333333333334</v>
      </c>
      <c r="H228" s="23" t="n">
        <v>5.369565217391305</v>
      </c>
      <c r="I228" s="23" t="n">
        <v>5.31</v>
      </c>
    </row>
    <row r="229">
      <c r="A229" s="20" t="n">
        <v>43952</v>
      </c>
      <c r="B229" s="13" t="n">
        <v>5.17</v>
      </c>
      <c r="C229" s="12" t="n">
        <v>92</v>
      </c>
      <c r="D229" s="13" t="n">
        <v>18.4</v>
      </c>
      <c r="E229" s="13" t="n">
        <v>32.2</v>
      </c>
      <c r="F229" s="12" t="n">
        <v>43</v>
      </c>
      <c r="G229" s="13" t="n">
        <v>14.33333333333334</v>
      </c>
      <c r="H229" s="21" t="n">
        <v>5.619565217391304</v>
      </c>
      <c r="I229" s="21" t="n">
        <v>5.36</v>
      </c>
    </row>
    <row r="230">
      <c r="A230" s="22" t="n">
        <v>43959</v>
      </c>
      <c r="B230" s="17" t="n">
        <v>5.11</v>
      </c>
      <c r="C230" s="16" t="n">
        <v>92</v>
      </c>
      <c r="D230" s="17" t="n">
        <v>18.4</v>
      </c>
      <c r="E230" s="17" t="n">
        <v>32.2</v>
      </c>
      <c r="F230" s="16" t="n">
        <v>43</v>
      </c>
      <c r="G230" s="17" t="n">
        <v>14.33333333333334</v>
      </c>
      <c r="H230" s="23" t="n">
        <v>5.554347826086957</v>
      </c>
      <c r="I230" s="23" t="n">
        <v>5.37</v>
      </c>
    </row>
    <row r="231">
      <c r="A231" s="20" t="n">
        <v>43966</v>
      </c>
      <c r="B231" s="13" t="n">
        <v>4.84</v>
      </c>
      <c r="C231" s="12" t="n">
        <v>92</v>
      </c>
      <c r="D231" s="13" t="n">
        <v>18.4</v>
      </c>
      <c r="E231" s="13" t="n">
        <v>32.2</v>
      </c>
      <c r="F231" s="12" t="n">
        <v>43</v>
      </c>
      <c r="G231" s="13" t="n">
        <v>14.33333333333334</v>
      </c>
      <c r="H231" s="21" t="n">
        <v>5.260869565217391</v>
      </c>
      <c r="I231" s="21" t="n">
        <v>5.36</v>
      </c>
    </row>
    <row r="232">
      <c r="A232" s="22" t="n">
        <v>43973</v>
      </c>
      <c r="B232" s="17" t="n">
        <v>4.9</v>
      </c>
      <c r="C232" s="16" t="n">
        <v>92</v>
      </c>
      <c r="D232" s="17" t="n">
        <v>18.4</v>
      </c>
      <c r="E232" s="17" t="n">
        <v>32.2</v>
      </c>
      <c r="F232" s="16" t="n">
        <v>43</v>
      </c>
      <c r="G232" s="17" t="n">
        <v>14.33333333333334</v>
      </c>
      <c r="H232" s="23" t="n">
        <v>5.326086956521739</v>
      </c>
      <c r="I232" s="23" t="n">
        <v>5.35</v>
      </c>
    </row>
    <row r="233">
      <c r="A233" s="20" t="n">
        <v>43980</v>
      </c>
      <c r="B233" s="13" t="n">
        <v>4.79</v>
      </c>
      <c r="C233" s="12" t="n">
        <v>92</v>
      </c>
      <c r="D233" s="13" t="n">
        <v>18.4</v>
      </c>
      <c r="E233" s="13" t="n">
        <v>32.2</v>
      </c>
      <c r="F233" s="12" t="n">
        <v>43</v>
      </c>
      <c r="G233" s="13" t="n">
        <v>14.33333333333334</v>
      </c>
      <c r="H233" s="21" t="n">
        <v>5.206521739130435</v>
      </c>
      <c r="I233" s="21" t="n">
        <v>5.34</v>
      </c>
    </row>
    <row r="234">
      <c r="A234" s="22" t="n">
        <v>43987</v>
      </c>
      <c r="B234" s="17" t="n">
        <v>4.88</v>
      </c>
      <c r="C234" s="16" t="n">
        <v>92</v>
      </c>
      <c r="D234" s="17" t="n">
        <v>18.4</v>
      </c>
      <c r="E234" s="17" t="n">
        <v>32.2</v>
      </c>
      <c r="F234" s="16" t="n">
        <v>43</v>
      </c>
      <c r="G234" s="17" t="n">
        <v>14.33333333333334</v>
      </c>
      <c r="H234" s="23" t="n">
        <v>5.304347826086956</v>
      </c>
      <c r="I234" s="23" t="n">
        <v>5.35</v>
      </c>
    </row>
    <row r="235">
      <c r="A235" s="20" t="n">
        <v>43994</v>
      </c>
      <c r="B235" s="13" t="n">
        <v>4.97</v>
      </c>
      <c r="C235" s="12" t="n">
        <v>92</v>
      </c>
      <c r="D235" s="13" t="n">
        <v>18.4</v>
      </c>
      <c r="E235" s="13" t="n">
        <v>32.2</v>
      </c>
      <c r="F235" s="12" t="n">
        <v>43</v>
      </c>
      <c r="G235" s="13" t="n">
        <v>14.33333333333334</v>
      </c>
      <c r="H235" s="21" t="n">
        <v>5.402173913043478</v>
      </c>
      <c r="I235" s="21" t="n">
        <v>5.36</v>
      </c>
    </row>
    <row r="236">
      <c r="A236" s="22" t="n">
        <v>44001</v>
      </c>
      <c r="B236" s="17" t="n">
        <v>5.07</v>
      </c>
      <c r="C236" s="16" t="n">
        <v>92</v>
      </c>
      <c r="D236" s="17" t="n">
        <v>18.4</v>
      </c>
      <c r="E236" s="17" t="n">
        <v>32.2</v>
      </c>
      <c r="F236" s="16" t="n">
        <v>43</v>
      </c>
      <c r="G236" s="17" t="n">
        <v>14.33333333333334</v>
      </c>
      <c r="H236" s="23" t="n">
        <v>5.510869565217392</v>
      </c>
      <c r="I236" s="23" t="n">
        <v>5.37</v>
      </c>
    </row>
    <row r="237">
      <c r="A237" s="20" t="n">
        <v>44008</v>
      </c>
      <c r="B237" s="13" t="n">
        <v>4.88</v>
      </c>
      <c r="C237" s="12" t="n">
        <v>92</v>
      </c>
      <c r="D237" s="13" t="n">
        <v>18.4</v>
      </c>
      <c r="E237" s="13" t="n">
        <v>32.2</v>
      </c>
      <c r="F237" s="12" t="n">
        <v>43</v>
      </c>
      <c r="G237" s="13" t="n">
        <v>14.33333333333334</v>
      </c>
      <c r="H237" s="21" t="n">
        <v>5.304347826086956</v>
      </c>
      <c r="I237" s="21" t="n">
        <v>5.37</v>
      </c>
    </row>
    <row r="238">
      <c r="A238" s="22" t="n">
        <v>44015</v>
      </c>
      <c r="B238" s="17" t="n">
        <v>4.89</v>
      </c>
      <c r="C238" s="16" t="n">
        <v>92</v>
      </c>
      <c r="D238" s="17" t="n">
        <v>18.4</v>
      </c>
      <c r="E238" s="17" t="n">
        <v>32.2</v>
      </c>
      <c r="F238" s="16" t="n">
        <v>43</v>
      </c>
      <c r="G238" s="17" t="n">
        <v>14.33333333333334</v>
      </c>
      <c r="H238" s="23" t="n">
        <v>5.315217391304348</v>
      </c>
      <c r="I238" s="23" t="n">
        <v>5.38</v>
      </c>
    </row>
    <row r="239">
      <c r="A239" s="20" t="n">
        <v>44022</v>
      </c>
      <c r="B239" s="13" t="n">
        <v>4.74</v>
      </c>
      <c r="C239" s="12" t="n">
        <v>92</v>
      </c>
      <c r="D239" s="13" t="n">
        <v>18.4</v>
      </c>
      <c r="E239" s="13" t="n">
        <v>32.2</v>
      </c>
      <c r="F239" s="12" t="n">
        <v>43</v>
      </c>
      <c r="G239" s="13" t="n">
        <v>14.33333333333334</v>
      </c>
      <c r="H239" s="21" t="n">
        <v>5.152173913043478</v>
      </c>
      <c r="I239" s="21" t="n">
        <v>5.36</v>
      </c>
    </row>
    <row r="240">
      <c r="A240" s="22" t="n">
        <v>44029</v>
      </c>
      <c r="B240" s="17" t="n">
        <v>4.94</v>
      </c>
      <c r="C240" s="16" t="n">
        <v>92</v>
      </c>
      <c r="D240" s="17" t="n">
        <v>18.4</v>
      </c>
      <c r="E240" s="17" t="n">
        <v>32.2</v>
      </c>
      <c r="F240" s="16" t="n">
        <v>43</v>
      </c>
      <c r="G240" s="17" t="n">
        <v>14.33333333333334</v>
      </c>
      <c r="H240" s="23" t="n">
        <v>5.369565217391305</v>
      </c>
      <c r="I240" s="23" t="n">
        <v>5.36</v>
      </c>
    </row>
    <row r="241">
      <c r="A241" s="20" t="n">
        <v>44036</v>
      </c>
      <c r="B241" s="13" t="n">
        <v>4.86</v>
      </c>
      <c r="C241" s="12" t="n">
        <v>92</v>
      </c>
      <c r="D241" s="13" t="n">
        <v>18.4</v>
      </c>
      <c r="E241" s="13" t="n">
        <v>32.2</v>
      </c>
      <c r="F241" s="12" t="n">
        <v>43</v>
      </c>
      <c r="G241" s="13" t="n">
        <v>14.33333333333334</v>
      </c>
      <c r="H241" s="21" t="n">
        <v>5.282608695652174</v>
      </c>
      <c r="I241" s="21" t="n">
        <v>5.33</v>
      </c>
    </row>
    <row r="242">
      <c r="A242" s="22" t="n">
        <v>44043</v>
      </c>
      <c r="B242" s="17" t="n">
        <v>4.91</v>
      </c>
      <c r="C242" s="16" t="n">
        <v>92</v>
      </c>
      <c r="D242" s="17" t="n">
        <v>18.4</v>
      </c>
      <c r="E242" s="17" t="n">
        <v>32.2</v>
      </c>
      <c r="F242" s="16" t="n">
        <v>43</v>
      </c>
      <c r="G242" s="17" t="n">
        <v>14.33333333333334</v>
      </c>
      <c r="H242" s="23" t="n">
        <v>5.33695652173913</v>
      </c>
      <c r="I242" s="23" t="n">
        <v>5.31</v>
      </c>
    </row>
    <row r="243">
      <c r="A243" s="20" t="n">
        <v>44050</v>
      </c>
      <c r="B243" s="13" t="n">
        <v>4.88</v>
      </c>
      <c r="C243" s="12" t="n">
        <v>92</v>
      </c>
      <c r="D243" s="13" t="n">
        <v>18.4</v>
      </c>
      <c r="E243" s="13" t="n">
        <v>32.2</v>
      </c>
      <c r="F243" s="12" t="n">
        <v>43</v>
      </c>
      <c r="G243" s="13" t="n">
        <v>14.33333333333334</v>
      </c>
      <c r="H243" s="21" t="n">
        <v>5.304347826086956</v>
      </c>
      <c r="I243" s="21" t="n">
        <v>5.32</v>
      </c>
    </row>
    <row r="244">
      <c r="A244" s="22" t="n">
        <v>44057</v>
      </c>
      <c r="B244" s="17" t="n">
        <v>4.96</v>
      </c>
      <c r="C244" s="16" t="n">
        <v>92</v>
      </c>
      <c r="D244" s="17" t="n">
        <v>18.4</v>
      </c>
      <c r="E244" s="17" t="n">
        <v>32.2</v>
      </c>
      <c r="F244" s="16" t="n">
        <v>43</v>
      </c>
      <c r="G244" s="17" t="n">
        <v>14.33333333333334</v>
      </c>
      <c r="H244" s="23" t="n">
        <v>5.391304347826087</v>
      </c>
      <c r="I244" s="23" t="n">
        <v>5.32</v>
      </c>
    </row>
    <row r="245">
      <c r="A245" s="20" t="n">
        <v>44064</v>
      </c>
      <c r="B245" s="13" t="n">
        <v>4.8</v>
      </c>
      <c r="C245" s="12" t="n">
        <v>86</v>
      </c>
      <c r="D245" s="13" t="n">
        <v>17.2</v>
      </c>
      <c r="E245" s="13" t="n">
        <v>30.1</v>
      </c>
      <c r="F245" s="12" t="n">
        <v>40</v>
      </c>
      <c r="G245" s="13" t="n">
        <v>13.33333333333334</v>
      </c>
      <c r="H245" s="21" t="n">
        <v>5.581395348837209</v>
      </c>
      <c r="I245" s="21" t="n">
        <v>5.35</v>
      </c>
    </row>
    <row r="246">
      <c r="A246" s="22" t="n">
        <v>44071</v>
      </c>
      <c r="B246" s="17" t="n">
        <v>4.83</v>
      </c>
      <c r="C246" s="16" t="n">
        <v>86</v>
      </c>
      <c r="D246" s="17" t="n">
        <v>17.2</v>
      </c>
      <c r="E246" s="17" t="n">
        <v>30.1</v>
      </c>
      <c r="F246" s="16" t="n">
        <v>40</v>
      </c>
      <c r="G246" s="17" t="n">
        <v>13.33333333333334</v>
      </c>
      <c r="H246" s="23" t="n">
        <v>5.616279069767442</v>
      </c>
      <c r="I246" s="23" t="n">
        <v>5.38</v>
      </c>
    </row>
    <row r="247">
      <c r="A247" s="20" t="n">
        <v>44078</v>
      </c>
      <c r="B247" s="13" t="n">
        <v>5.19</v>
      </c>
      <c r="C247" s="12" t="n">
        <v>86</v>
      </c>
      <c r="D247" s="13" t="n">
        <v>17.2</v>
      </c>
      <c r="E247" s="13" t="n">
        <v>30.1</v>
      </c>
      <c r="F247" s="12" t="n">
        <v>40</v>
      </c>
      <c r="G247" s="13" t="n">
        <v>13.33333333333334</v>
      </c>
      <c r="H247" s="21" t="n">
        <v>6.034883720930234</v>
      </c>
      <c r="I247" s="21" t="n">
        <v>5.43</v>
      </c>
    </row>
    <row r="248">
      <c r="A248" s="22" t="n">
        <v>44085</v>
      </c>
      <c r="B248" s="17" t="n">
        <v>4.85</v>
      </c>
      <c r="C248" s="16" t="n">
        <v>86</v>
      </c>
      <c r="D248" s="17" t="n">
        <v>17.2</v>
      </c>
      <c r="E248" s="17" t="n">
        <v>30.1</v>
      </c>
      <c r="F248" s="16" t="n">
        <v>40</v>
      </c>
      <c r="G248" s="17" t="n">
        <v>13.33333333333334</v>
      </c>
      <c r="H248" s="23" t="n">
        <v>5.63953488372093</v>
      </c>
      <c r="I248" s="23" t="n">
        <v>5.44</v>
      </c>
    </row>
    <row r="249">
      <c r="A249" s="20" t="n">
        <v>44092</v>
      </c>
      <c r="B249" s="13" t="n">
        <v>4.87</v>
      </c>
      <c r="C249" s="12" t="n">
        <v>86</v>
      </c>
      <c r="D249" s="13" t="n">
        <v>17.2</v>
      </c>
      <c r="E249" s="13" t="n">
        <v>30.1</v>
      </c>
      <c r="F249" s="12" t="n">
        <v>40</v>
      </c>
      <c r="G249" s="13" t="n">
        <v>13.33333333333334</v>
      </c>
      <c r="H249" s="21" t="n">
        <v>5.662790697674419</v>
      </c>
      <c r="I249" s="21" t="n">
        <v>5.47</v>
      </c>
    </row>
    <row r="250">
      <c r="A250" s="22" t="n">
        <v>44099</v>
      </c>
      <c r="B250" s="17" t="n">
        <v>5.17</v>
      </c>
      <c r="C250" s="16" t="n">
        <v>86</v>
      </c>
      <c r="D250" s="17" t="n">
        <v>17.2</v>
      </c>
      <c r="E250" s="17" t="n">
        <v>30.1</v>
      </c>
      <c r="F250" s="16" t="n">
        <v>40</v>
      </c>
      <c r="G250" s="17" t="n">
        <v>13.33333333333334</v>
      </c>
      <c r="H250" s="23" t="n">
        <v>6.011627906976744</v>
      </c>
      <c r="I250" s="23" t="n">
        <v>5.53</v>
      </c>
    </row>
    <row r="251">
      <c r="A251" s="20" t="n">
        <v>44106</v>
      </c>
      <c r="B251" s="13" t="n">
        <v>5.28</v>
      </c>
      <c r="C251" s="12" t="n">
        <v>86</v>
      </c>
      <c r="D251" s="13" t="n">
        <v>17.2</v>
      </c>
      <c r="E251" s="13" t="n">
        <v>30.1</v>
      </c>
      <c r="F251" s="12" t="n">
        <v>40</v>
      </c>
      <c r="G251" s="13" t="n">
        <v>13.33333333333334</v>
      </c>
      <c r="H251" s="21" t="n">
        <v>6.13953488372093</v>
      </c>
      <c r="I251" s="21" t="n">
        <v>5.61</v>
      </c>
    </row>
    <row r="252">
      <c r="A252" s="22" t="n">
        <v>44113</v>
      </c>
      <c r="B252" s="17" t="n">
        <v>4.87</v>
      </c>
      <c r="C252" s="16" t="n">
        <v>86</v>
      </c>
      <c r="D252" s="17" t="n">
        <v>17.2</v>
      </c>
      <c r="E252" s="17" t="n">
        <v>30.1</v>
      </c>
      <c r="F252" s="16" t="n">
        <v>40</v>
      </c>
      <c r="G252" s="17" t="n">
        <v>13.33333333333334</v>
      </c>
      <c r="H252" s="23" t="n">
        <v>5.662790697674419</v>
      </c>
      <c r="I252" s="23" t="n">
        <v>5.64</v>
      </c>
    </row>
    <row r="253">
      <c r="A253" s="20" t="n">
        <v>44120</v>
      </c>
      <c r="B253" s="13" t="n">
        <v>4.95</v>
      </c>
      <c r="C253" s="12" t="n">
        <v>86</v>
      </c>
      <c r="D253" s="13" t="n">
        <v>17.2</v>
      </c>
      <c r="E253" s="13" t="n">
        <v>30.1</v>
      </c>
      <c r="F253" s="12" t="n">
        <v>40</v>
      </c>
      <c r="G253" s="13" t="n">
        <v>13.33333333333334</v>
      </c>
      <c r="H253" s="21" t="n">
        <v>5.755813953488373</v>
      </c>
      <c r="I253" s="21" t="n">
        <v>5.68</v>
      </c>
    </row>
    <row r="254">
      <c r="A254" s="22" t="n">
        <v>44127</v>
      </c>
      <c r="B254" s="17" t="n">
        <v>5.02</v>
      </c>
      <c r="C254" s="16" t="n">
        <v>86</v>
      </c>
      <c r="D254" s="17" t="n">
        <v>17.2</v>
      </c>
      <c r="E254" s="17" t="n">
        <v>30.1</v>
      </c>
      <c r="F254" s="16" t="n">
        <v>40</v>
      </c>
      <c r="G254" s="17" t="n">
        <v>13.33333333333334</v>
      </c>
      <c r="H254" s="23" t="n">
        <v>5.837209302325581</v>
      </c>
      <c r="I254" s="23" t="n">
        <v>5.72</v>
      </c>
    </row>
    <row r="255">
      <c r="A255" s="20" t="n">
        <v>44134</v>
      </c>
      <c r="B255" s="13" t="n">
        <v>5.16</v>
      </c>
      <c r="C255" s="12" t="n">
        <v>86</v>
      </c>
      <c r="D255" s="13" t="n">
        <v>17.2</v>
      </c>
      <c r="E255" s="13" t="n">
        <v>30.1</v>
      </c>
      <c r="F255" s="12" t="n">
        <v>40</v>
      </c>
      <c r="G255" s="13" t="n">
        <v>13.33333333333334</v>
      </c>
      <c r="H255" s="21" t="n">
        <v>6</v>
      </c>
      <c r="I255" s="21" t="n">
        <v>5.78</v>
      </c>
    </row>
    <row r="256">
      <c r="A256" s="22" t="n">
        <v>44141</v>
      </c>
      <c r="B256" s="17" t="n">
        <v>4.89</v>
      </c>
      <c r="C256" s="16" t="n">
        <v>86</v>
      </c>
      <c r="D256" s="17" t="n">
        <v>17.2</v>
      </c>
      <c r="E256" s="17" t="n">
        <v>30.1</v>
      </c>
      <c r="F256" s="16" t="n">
        <v>40</v>
      </c>
      <c r="G256" s="17" t="n">
        <v>13.33333333333334</v>
      </c>
      <c r="H256" s="23" t="n">
        <v>5.686046511627906</v>
      </c>
      <c r="I256" s="23" t="n">
        <v>5.8</v>
      </c>
    </row>
    <row r="257">
      <c r="A257" s="20" t="n">
        <v>44148</v>
      </c>
      <c r="B257" s="13" t="n">
        <v>4.97</v>
      </c>
      <c r="C257" s="12" t="n">
        <v>86</v>
      </c>
      <c r="D257" s="13" t="n">
        <v>17.2</v>
      </c>
      <c r="E257" s="13" t="n">
        <v>30.1</v>
      </c>
      <c r="F257" s="12" t="n">
        <v>40</v>
      </c>
      <c r="G257" s="13" t="n">
        <v>13.33333333333334</v>
      </c>
      <c r="H257" s="21" t="n">
        <v>5.77906976744186</v>
      </c>
      <c r="I257" s="21" t="n">
        <v>5.82</v>
      </c>
    </row>
    <row r="258">
      <c r="A258" s="22" t="n">
        <v>44155</v>
      </c>
      <c r="B258" s="17" t="n">
        <v>5.07</v>
      </c>
      <c r="C258" s="16" t="n">
        <v>86</v>
      </c>
      <c r="D258" s="17" t="n">
        <v>17.2</v>
      </c>
      <c r="E258" s="17" t="n">
        <v>30.1</v>
      </c>
      <c r="F258" s="16" t="n">
        <v>40</v>
      </c>
      <c r="G258" s="17" t="n">
        <v>13.33333333333334</v>
      </c>
      <c r="H258" s="23" t="n">
        <v>5.895348837209303</v>
      </c>
      <c r="I258" s="23" t="n">
        <v>5.84</v>
      </c>
    </row>
    <row r="259">
      <c r="A259" s="20" t="n">
        <v>44162</v>
      </c>
      <c r="B259" s="13" t="n">
        <v>5.04</v>
      </c>
      <c r="C259" s="12" t="n">
        <v>86</v>
      </c>
      <c r="D259" s="13" t="n">
        <v>17.2</v>
      </c>
      <c r="E259" s="13" t="n">
        <v>30.1</v>
      </c>
      <c r="F259" s="12" t="n">
        <v>40</v>
      </c>
      <c r="G259" s="13" t="n">
        <v>13.33333333333334</v>
      </c>
      <c r="H259" s="21" t="n">
        <v>5.86046511627907</v>
      </c>
      <c r="I259" s="21" t="n">
        <v>5.83</v>
      </c>
    </row>
    <row r="260">
      <c r="A260" s="22" t="n">
        <v>44169</v>
      </c>
      <c r="B260" s="17" t="n">
        <v>4.96</v>
      </c>
      <c r="C260" s="16" t="n">
        <v>86</v>
      </c>
      <c r="D260" s="17" t="n">
        <v>17.2</v>
      </c>
      <c r="E260" s="17" t="n">
        <v>30.1</v>
      </c>
      <c r="F260" s="16" t="n">
        <v>40</v>
      </c>
      <c r="G260" s="17" t="n">
        <v>13.33333333333334</v>
      </c>
      <c r="H260" s="23" t="n">
        <v>5.767441860465117</v>
      </c>
      <c r="I260" s="23" t="n">
        <v>5.84</v>
      </c>
    </row>
    <row r="261">
      <c r="A261" s="20" t="n">
        <v>44176</v>
      </c>
      <c r="B261" s="13" t="n">
        <v>4.98</v>
      </c>
      <c r="C261" s="12" t="n">
        <v>86</v>
      </c>
      <c r="D261" s="13" t="n">
        <v>17.2</v>
      </c>
      <c r="E261" s="13" t="n">
        <v>30.1</v>
      </c>
      <c r="F261" s="12" t="n">
        <v>40</v>
      </c>
      <c r="G261" s="13" t="n">
        <v>13.33333333333334</v>
      </c>
      <c r="H261" s="21" t="n">
        <v>5.790697674418605</v>
      </c>
      <c r="I261" s="21" t="n">
        <v>5.85</v>
      </c>
    </row>
    <row r="262">
      <c r="A262" s="22" t="n">
        <v>44183</v>
      </c>
      <c r="B262" s="17" t="n">
        <v>4.86</v>
      </c>
      <c r="C262" s="16" t="n">
        <v>86</v>
      </c>
      <c r="D262" s="17" t="n">
        <v>17.2</v>
      </c>
      <c r="E262" s="17" t="n">
        <v>30.1</v>
      </c>
      <c r="F262" s="16" t="n">
        <v>40</v>
      </c>
      <c r="G262" s="17" t="n">
        <v>13.33333333333334</v>
      </c>
      <c r="H262" s="23" t="n">
        <v>5.651162790697675</v>
      </c>
      <c r="I262" s="23" t="n">
        <v>5.82</v>
      </c>
    </row>
    <row r="263">
      <c r="A263" s="20" t="n">
        <v>44190</v>
      </c>
      <c r="B263" s="13" t="n">
        <v>4.97</v>
      </c>
      <c r="C263" s="12" t="n">
        <v>86</v>
      </c>
      <c r="D263" s="13" t="n">
        <v>17.2</v>
      </c>
      <c r="E263" s="13" t="n">
        <v>30.1</v>
      </c>
      <c r="F263" s="12" t="n">
        <v>40</v>
      </c>
      <c r="G263" s="13" t="n">
        <v>13.33333333333334</v>
      </c>
      <c r="H263" s="21" t="n">
        <v>5.77906976744186</v>
      </c>
      <c r="I263" s="21" t="n">
        <v>5.79</v>
      </c>
    </row>
    <row r="264">
      <c r="A264" s="22" t="n">
        <v>44197</v>
      </c>
      <c r="B264" s="17" t="n">
        <v>4.97</v>
      </c>
      <c r="C264" s="16" t="n">
        <v>86</v>
      </c>
      <c r="D264" s="17" t="n">
        <v>17.2</v>
      </c>
      <c r="E264" s="17" t="n">
        <v>30.1</v>
      </c>
      <c r="F264" s="16" t="n">
        <v>40</v>
      </c>
      <c r="G264" s="17" t="n">
        <v>13.33333333333334</v>
      </c>
      <c r="H264" s="23" t="n">
        <v>5.77906976744186</v>
      </c>
      <c r="I264" s="23" t="n">
        <v>5.8</v>
      </c>
    </row>
    <row r="265">
      <c r="A265" s="20" t="n">
        <v>44204</v>
      </c>
      <c r="B265" s="13" t="n">
        <v>5.02</v>
      </c>
      <c r="C265" s="12" t="n">
        <v>86</v>
      </c>
      <c r="D265" s="13" t="n">
        <v>17.2</v>
      </c>
      <c r="E265" s="13" t="n">
        <v>30.1</v>
      </c>
      <c r="F265" s="12" t="n">
        <v>40</v>
      </c>
      <c r="G265" s="13" t="n">
        <v>13.33333333333334</v>
      </c>
      <c r="H265" s="21" t="n">
        <v>5.837209302325581</v>
      </c>
      <c r="I265" s="21" t="n">
        <v>5.81</v>
      </c>
    </row>
    <row r="266">
      <c r="A266" s="22" t="n">
        <v>44211</v>
      </c>
      <c r="B266" s="17" t="n">
        <v>4.94</v>
      </c>
      <c r="C266" s="16" t="n">
        <v>86</v>
      </c>
      <c r="D266" s="17" t="n">
        <v>17.2</v>
      </c>
      <c r="E266" s="17" t="n">
        <v>30.1</v>
      </c>
      <c r="F266" s="16" t="n">
        <v>40</v>
      </c>
      <c r="G266" s="17" t="n">
        <v>13.33333333333334</v>
      </c>
      <c r="H266" s="23" t="n">
        <v>5.744186046511628</v>
      </c>
      <c r="I266" s="23" t="n">
        <v>5.8</v>
      </c>
    </row>
    <row r="267">
      <c r="A267" s="20" t="n">
        <v>44218</v>
      </c>
      <c r="B267" s="13" t="n">
        <v>5.05</v>
      </c>
      <c r="C267" s="12" t="n">
        <v>86</v>
      </c>
      <c r="D267" s="13" t="n">
        <v>17.2</v>
      </c>
      <c r="E267" s="13" t="n">
        <v>30.1</v>
      </c>
      <c r="F267" s="12" t="n">
        <v>40</v>
      </c>
      <c r="G267" s="13" t="n">
        <v>13.33333333333334</v>
      </c>
      <c r="H267" s="21" t="n">
        <v>5.872093023255814</v>
      </c>
      <c r="I267" s="21" t="n">
        <v>5.79</v>
      </c>
    </row>
    <row r="268">
      <c r="A268" s="22" t="n">
        <v>44225</v>
      </c>
      <c r="B268" s="17" t="n">
        <v>5.1</v>
      </c>
      <c r="C268" s="16" t="n">
        <v>86</v>
      </c>
      <c r="D268" s="17" t="n">
        <v>17.2</v>
      </c>
      <c r="E268" s="17" t="n">
        <v>30.1</v>
      </c>
      <c r="F268" s="16" t="n">
        <v>40</v>
      </c>
      <c r="G268" s="17" t="n">
        <v>13.33333333333334</v>
      </c>
      <c r="H268" s="23" t="n">
        <v>5.930232558139535</v>
      </c>
      <c r="I268" s="23" t="n">
        <v>5.81</v>
      </c>
    </row>
    <row r="269">
      <c r="A269" s="20" t="n">
        <v>44232</v>
      </c>
      <c r="B269" s="13" t="n">
        <v>5.02</v>
      </c>
      <c r="C269" s="12" t="n">
        <v>86</v>
      </c>
      <c r="D269" s="13" t="n">
        <v>17.2</v>
      </c>
      <c r="E269" s="13" t="n">
        <v>30.1</v>
      </c>
      <c r="F269" s="12" t="n">
        <v>40</v>
      </c>
      <c r="G269" s="13" t="n">
        <v>13.33333333333334</v>
      </c>
      <c r="H269" s="21" t="n">
        <v>5.837209302325581</v>
      </c>
      <c r="I269" s="21" t="n">
        <v>5.81</v>
      </c>
    </row>
    <row r="270">
      <c r="A270" s="22" t="n">
        <v>44239</v>
      </c>
      <c r="B270" s="17" t="n">
        <v>5.03</v>
      </c>
      <c r="C270" s="16" t="n">
        <v>86</v>
      </c>
      <c r="D270" s="17" t="n">
        <v>17.2</v>
      </c>
      <c r="E270" s="17" t="n">
        <v>30.1</v>
      </c>
      <c r="F270" s="16" t="n">
        <v>40</v>
      </c>
      <c r="G270" s="17" t="n">
        <v>13.33333333333334</v>
      </c>
      <c r="H270" s="23" t="n">
        <v>5.848837209302326</v>
      </c>
      <c r="I270" s="23" t="n">
        <v>5.81</v>
      </c>
    </row>
    <row r="271">
      <c r="A271" s="20" t="n">
        <v>44246</v>
      </c>
      <c r="B271" s="13" t="n">
        <v>5</v>
      </c>
      <c r="C271" s="12" t="n">
        <v>110</v>
      </c>
      <c r="D271" s="13" t="n">
        <v>22</v>
      </c>
      <c r="E271" s="13" t="n">
        <v>38.5</v>
      </c>
      <c r="F271" s="12" t="n">
        <v>46</v>
      </c>
      <c r="G271" s="13" t="n">
        <v>15.33333333333334</v>
      </c>
      <c r="H271" s="21" t="n">
        <v>4.545454545454545</v>
      </c>
      <c r="I271" s="21" t="n">
        <v>5.7</v>
      </c>
    </row>
    <row r="272">
      <c r="A272" s="22" t="n">
        <v>44253</v>
      </c>
      <c r="B272" s="17" t="n">
        <v>5</v>
      </c>
      <c r="C272" s="16" t="n">
        <v>110</v>
      </c>
      <c r="D272" s="17" t="n">
        <v>22</v>
      </c>
      <c r="E272" s="17" t="n">
        <v>38.5</v>
      </c>
      <c r="F272" s="16" t="n">
        <v>46</v>
      </c>
      <c r="G272" s="17" t="n">
        <v>15.33333333333334</v>
      </c>
      <c r="H272" s="23" t="n">
        <v>4.545454545454545</v>
      </c>
      <c r="I272" s="23" t="n">
        <v>5.6</v>
      </c>
    </row>
    <row r="273">
      <c r="A273" s="20" t="n">
        <v>44260</v>
      </c>
      <c r="B273" s="13" t="n">
        <v>4.93</v>
      </c>
      <c r="C273" s="12" t="n">
        <v>110</v>
      </c>
      <c r="D273" s="13" t="n">
        <v>22</v>
      </c>
      <c r="E273" s="13" t="n">
        <v>38.5</v>
      </c>
      <c r="F273" s="12" t="n">
        <v>46</v>
      </c>
      <c r="G273" s="13" t="n">
        <v>15.33333333333334</v>
      </c>
      <c r="H273" s="21" t="n">
        <v>4.481818181818181</v>
      </c>
      <c r="I273" s="21" t="n">
        <v>5.49</v>
      </c>
    </row>
    <row r="274">
      <c r="A274" s="22" t="n">
        <v>44267</v>
      </c>
      <c r="B274" s="17" t="n">
        <v>5.03</v>
      </c>
      <c r="C274" s="16" t="n">
        <v>110</v>
      </c>
      <c r="D274" s="17" t="n">
        <v>22</v>
      </c>
      <c r="E274" s="17" t="n">
        <v>38.5</v>
      </c>
      <c r="F274" s="16" t="n">
        <v>46</v>
      </c>
      <c r="G274" s="17" t="n">
        <v>15.33333333333334</v>
      </c>
      <c r="H274" s="23" t="n">
        <v>4.572727272727272</v>
      </c>
      <c r="I274" s="23" t="n">
        <v>5.4</v>
      </c>
    </row>
    <row r="275">
      <c r="A275" s="20" t="n">
        <v>44274</v>
      </c>
      <c r="B275" s="13" t="n">
        <v>4.99</v>
      </c>
      <c r="C275" s="12" t="n">
        <v>110</v>
      </c>
      <c r="D275" s="13" t="n">
        <v>22</v>
      </c>
      <c r="E275" s="13" t="n">
        <v>38.5</v>
      </c>
      <c r="F275" s="12" t="n">
        <v>46</v>
      </c>
      <c r="G275" s="13" t="n">
        <v>15.33333333333334</v>
      </c>
      <c r="H275" s="21" t="n">
        <v>4.536363636363636</v>
      </c>
      <c r="I275" s="21" t="n">
        <v>5.29</v>
      </c>
    </row>
    <row r="276">
      <c r="A276" s="22" t="n">
        <v>44281</v>
      </c>
      <c r="B276" s="17" t="n">
        <v>5.21</v>
      </c>
      <c r="C276" s="16" t="n">
        <v>110</v>
      </c>
      <c r="D276" s="17" t="n">
        <v>22</v>
      </c>
      <c r="E276" s="17" t="n">
        <v>38.5</v>
      </c>
      <c r="F276" s="16" t="n">
        <v>46</v>
      </c>
      <c r="G276" s="17" t="n">
        <v>15.33333333333334</v>
      </c>
      <c r="H276" s="23" t="n">
        <v>4.736363636363636</v>
      </c>
      <c r="I276" s="23" t="n">
        <v>5.21</v>
      </c>
    </row>
    <row r="277">
      <c r="A277" s="20" t="n">
        <v>44288</v>
      </c>
      <c r="B277" s="13" t="n">
        <v>5.15</v>
      </c>
      <c r="C277" s="12" t="n">
        <v>110</v>
      </c>
      <c r="D277" s="13" t="n">
        <v>22</v>
      </c>
      <c r="E277" s="13" t="n">
        <v>38.5</v>
      </c>
      <c r="F277" s="12" t="n">
        <v>46</v>
      </c>
      <c r="G277" s="13" t="n">
        <v>15.33333333333334</v>
      </c>
      <c r="H277" s="21" t="n">
        <v>4.681818181818182</v>
      </c>
      <c r="I277" s="21" t="n">
        <v>5.11</v>
      </c>
    </row>
    <row r="278">
      <c r="A278" s="22" t="n">
        <v>44295</v>
      </c>
      <c r="B278" s="17" t="n">
        <v>5.03</v>
      </c>
      <c r="C278" s="16" t="n">
        <v>110</v>
      </c>
      <c r="D278" s="17" t="n">
        <v>22</v>
      </c>
      <c r="E278" s="17" t="n">
        <v>38.5</v>
      </c>
      <c r="F278" s="16" t="n">
        <v>46</v>
      </c>
      <c r="G278" s="17" t="n">
        <v>15.33333333333334</v>
      </c>
      <c r="H278" s="23" t="n">
        <v>4.572727272727272</v>
      </c>
      <c r="I278" s="23" t="n">
        <v>5.01</v>
      </c>
    </row>
    <row r="279">
      <c r="A279" s="20" t="n">
        <v>44302</v>
      </c>
      <c r="B279" s="13" t="n">
        <v>4.92</v>
      </c>
      <c r="C279" s="12" t="n">
        <v>110</v>
      </c>
      <c r="D279" s="13" t="n">
        <v>22</v>
      </c>
      <c r="E279" s="13" t="n">
        <v>38.5</v>
      </c>
      <c r="F279" s="12" t="n">
        <v>46</v>
      </c>
      <c r="G279" s="13" t="n">
        <v>15.33333333333334</v>
      </c>
      <c r="H279" s="21" t="n">
        <v>4.472727272727273</v>
      </c>
      <c r="I279" s="21" t="n">
        <v>4.9</v>
      </c>
    </row>
    <row r="280">
      <c r="A280" s="22" t="n">
        <v>44309</v>
      </c>
      <c r="B280" s="17" t="n">
        <v>4.88</v>
      </c>
      <c r="C280" s="16" t="n">
        <v>110</v>
      </c>
      <c r="D280" s="17" t="n">
        <v>22</v>
      </c>
      <c r="E280" s="17" t="n">
        <v>38.5</v>
      </c>
      <c r="F280" s="16" t="n">
        <v>46</v>
      </c>
      <c r="G280" s="17" t="n">
        <v>15.33333333333334</v>
      </c>
      <c r="H280" s="23" t="n">
        <v>4.436363636363636</v>
      </c>
      <c r="I280" s="23" t="n">
        <v>4.77</v>
      </c>
    </row>
    <row r="281">
      <c r="A281" s="20" t="n">
        <v>44316</v>
      </c>
      <c r="B281" s="13" t="n">
        <v>5.11</v>
      </c>
      <c r="C281" s="12" t="n">
        <v>110</v>
      </c>
      <c r="D281" s="13" t="n">
        <v>22</v>
      </c>
      <c r="E281" s="13" t="n">
        <v>38.5</v>
      </c>
      <c r="F281" s="12" t="n">
        <v>46</v>
      </c>
      <c r="G281" s="13" t="n">
        <v>15.33333333333334</v>
      </c>
      <c r="H281" s="21" t="n">
        <v>4.645454545454546</v>
      </c>
      <c r="I281" s="21" t="n">
        <v>4.67</v>
      </c>
    </row>
    <row r="282">
      <c r="A282" s="22" t="n">
        <v>44323</v>
      </c>
      <c r="B282" s="17" t="n">
        <v>5.02</v>
      </c>
      <c r="C282" s="16" t="n">
        <v>110</v>
      </c>
      <c r="D282" s="17" t="n">
        <v>22</v>
      </c>
      <c r="E282" s="17" t="n">
        <v>38.5</v>
      </c>
      <c r="F282" s="16" t="n">
        <v>46</v>
      </c>
      <c r="G282" s="17" t="n">
        <v>15.33333333333334</v>
      </c>
      <c r="H282" s="23" t="n">
        <v>4.563636363636363</v>
      </c>
      <c r="I282" s="23" t="n">
        <v>4.57</v>
      </c>
    </row>
    <row r="283">
      <c r="A283" s="20" t="n">
        <v>44330</v>
      </c>
      <c r="B283" s="13" t="n">
        <v>5.04</v>
      </c>
      <c r="C283" s="12" t="n">
        <v>110</v>
      </c>
      <c r="D283" s="13" t="n">
        <v>22</v>
      </c>
      <c r="E283" s="13" t="n">
        <v>38.5</v>
      </c>
      <c r="F283" s="12" t="n">
        <v>46</v>
      </c>
      <c r="G283" s="13" t="n">
        <v>15.33333333333334</v>
      </c>
      <c r="H283" s="21" t="n">
        <v>4.581818181818181</v>
      </c>
      <c r="I283" s="21" t="n">
        <v>4.57</v>
      </c>
    </row>
    <row r="284">
      <c r="A284" s="22" t="n">
        <v>44337</v>
      </c>
      <c r="B284" s="17" t="n">
        <v>4.81</v>
      </c>
      <c r="C284" s="16" t="n">
        <v>110</v>
      </c>
      <c r="D284" s="17" t="n">
        <v>22</v>
      </c>
      <c r="E284" s="17" t="n">
        <v>38.5</v>
      </c>
      <c r="F284" s="16" t="n">
        <v>46</v>
      </c>
      <c r="G284" s="17" t="n">
        <v>15.33333333333334</v>
      </c>
      <c r="H284" s="23" t="n">
        <v>4.372727272727272</v>
      </c>
      <c r="I284" s="23" t="n">
        <v>4.55</v>
      </c>
    </row>
    <row r="285">
      <c r="A285" s="20" t="n">
        <v>44344</v>
      </c>
      <c r="B285" s="13" t="n">
        <v>5.08</v>
      </c>
      <c r="C285" s="12" t="n">
        <v>110</v>
      </c>
      <c r="D285" s="13" t="n">
        <v>22</v>
      </c>
      <c r="E285" s="13" t="n">
        <v>38.5</v>
      </c>
      <c r="F285" s="12" t="n">
        <v>46</v>
      </c>
      <c r="G285" s="13" t="n">
        <v>15.33333333333334</v>
      </c>
      <c r="H285" s="21" t="n">
        <v>4.618181818181818</v>
      </c>
      <c r="I285" s="21" t="n">
        <v>4.57</v>
      </c>
    </row>
    <row r="286">
      <c r="A286" s="22" t="n">
        <v>44351</v>
      </c>
      <c r="B286" s="17" t="n">
        <v>5.03</v>
      </c>
      <c r="C286" s="16" t="n">
        <v>110</v>
      </c>
      <c r="D286" s="17" t="n">
        <v>22</v>
      </c>
      <c r="E286" s="17" t="n">
        <v>38.5</v>
      </c>
      <c r="F286" s="16" t="n">
        <v>46</v>
      </c>
      <c r="G286" s="17" t="n">
        <v>15.33333333333334</v>
      </c>
      <c r="H286" s="23" t="n">
        <v>4.572727272727272</v>
      </c>
      <c r="I286" s="23" t="n">
        <v>4.57</v>
      </c>
    </row>
    <row r="287">
      <c r="A287" s="20" t="n">
        <v>44358</v>
      </c>
      <c r="B287" s="13" t="n">
        <v>4.87</v>
      </c>
      <c r="C287" s="12" t="n">
        <v>110</v>
      </c>
      <c r="D287" s="13" t="n">
        <v>22</v>
      </c>
      <c r="E287" s="13" t="n">
        <v>38.5</v>
      </c>
      <c r="F287" s="12" t="n">
        <v>46</v>
      </c>
      <c r="G287" s="13" t="n">
        <v>15.33333333333334</v>
      </c>
      <c r="H287" s="21" t="n">
        <v>4.427272727272727</v>
      </c>
      <c r="I287" s="21" t="n">
        <v>4.56</v>
      </c>
    </row>
    <row r="288">
      <c r="A288" s="22" t="n">
        <v>44365</v>
      </c>
      <c r="B288" s="17" t="n">
        <v>4.93</v>
      </c>
      <c r="C288" s="16" t="n">
        <v>110</v>
      </c>
      <c r="D288" s="17" t="n">
        <v>22</v>
      </c>
      <c r="E288" s="17" t="n">
        <v>38.5</v>
      </c>
      <c r="F288" s="16" t="n">
        <v>46</v>
      </c>
      <c r="G288" s="17" t="n">
        <v>15.33333333333334</v>
      </c>
      <c r="H288" s="23" t="n">
        <v>4.481818181818181</v>
      </c>
      <c r="I288" s="23" t="n">
        <v>4.54</v>
      </c>
    </row>
    <row r="289">
      <c r="A289" s="20" t="n">
        <v>44372</v>
      </c>
      <c r="B289" s="13" t="n">
        <v>5</v>
      </c>
      <c r="C289" s="12" t="n">
        <v>110</v>
      </c>
      <c r="D289" s="13" t="n">
        <v>22</v>
      </c>
      <c r="E289" s="13" t="n">
        <v>38.5</v>
      </c>
      <c r="F289" s="12" t="n">
        <v>46</v>
      </c>
      <c r="G289" s="13" t="n">
        <v>15.33333333333334</v>
      </c>
      <c r="H289" s="21" t="n">
        <v>4.545454545454545</v>
      </c>
      <c r="I289" s="21" t="n">
        <v>4.52</v>
      </c>
    </row>
    <row r="290">
      <c r="A290" s="22" t="n">
        <v>44379</v>
      </c>
      <c r="B290" s="17" t="n">
        <v>4.98</v>
      </c>
      <c r="C290" s="16" t="n">
        <v>110</v>
      </c>
      <c r="D290" s="17" t="n">
        <v>22</v>
      </c>
      <c r="E290" s="17" t="n">
        <v>38.5</v>
      </c>
      <c r="F290" s="16" t="n">
        <v>46</v>
      </c>
      <c r="G290" s="17" t="n">
        <v>15.33333333333334</v>
      </c>
      <c r="H290" s="23" t="n">
        <v>4.527272727272727</v>
      </c>
      <c r="I290" s="23" t="n">
        <v>4.52</v>
      </c>
    </row>
    <row r="291">
      <c r="A291" s="20" t="n">
        <v>44386</v>
      </c>
      <c r="B291" s="13" t="n">
        <v>4.94</v>
      </c>
      <c r="C291" s="12" t="n">
        <v>110</v>
      </c>
      <c r="D291" s="13" t="n">
        <v>22</v>
      </c>
      <c r="E291" s="13" t="n">
        <v>38.5</v>
      </c>
      <c r="F291" s="12" t="n">
        <v>46</v>
      </c>
      <c r="G291" s="13" t="n">
        <v>15.33333333333334</v>
      </c>
      <c r="H291" s="21" t="n">
        <v>4.490909090909091</v>
      </c>
      <c r="I291" s="21" t="n">
        <v>4.52</v>
      </c>
    </row>
    <row r="292">
      <c r="A292" s="22" t="n">
        <v>44393</v>
      </c>
      <c r="B292" s="17" t="n">
        <v>4.96</v>
      </c>
      <c r="C292" s="16" t="n">
        <v>110</v>
      </c>
      <c r="D292" s="17" t="n">
        <v>22</v>
      </c>
      <c r="E292" s="17" t="n">
        <v>38.5</v>
      </c>
      <c r="F292" s="16" t="n">
        <v>46</v>
      </c>
      <c r="G292" s="17" t="n">
        <v>15.33333333333334</v>
      </c>
      <c r="H292" s="23" t="n">
        <v>4.509090909090909</v>
      </c>
      <c r="I292" s="23" t="n">
        <v>4.53</v>
      </c>
    </row>
    <row r="293">
      <c r="A293" s="20" t="n">
        <v>44400</v>
      </c>
      <c r="B293" s="13" t="n">
        <v>4.94</v>
      </c>
      <c r="C293" s="12" t="n">
        <v>110</v>
      </c>
      <c r="D293" s="13" t="n">
        <v>22</v>
      </c>
      <c r="E293" s="13" t="n">
        <v>38.5</v>
      </c>
      <c r="F293" s="12" t="n">
        <v>46</v>
      </c>
      <c r="G293" s="13" t="n">
        <v>15.33333333333334</v>
      </c>
      <c r="H293" s="21" t="n">
        <v>4.490909090909091</v>
      </c>
      <c r="I293" s="21" t="n">
        <v>4.52</v>
      </c>
    </row>
    <row r="294">
      <c r="A294" s="22" t="n">
        <v>44407</v>
      </c>
      <c r="B294" s="17" t="n">
        <v>4.98</v>
      </c>
      <c r="C294" s="16" t="n">
        <v>110</v>
      </c>
      <c r="D294" s="17" t="n">
        <v>22</v>
      </c>
      <c r="E294" s="17" t="n">
        <v>38.5</v>
      </c>
      <c r="F294" s="16" t="n">
        <v>46</v>
      </c>
      <c r="G294" s="17" t="n">
        <v>15.33333333333334</v>
      </c>
      <c r="H294" s="23" t="n">
        <v>4.527272727272727</v>
      </c>
      <c r="I294" s="23" t="n">
        <v>4.51</v>
      </c>
    </row>
    <row r="295">
      <c r="A295" s="20" t="n">
        <v>44414</v>
      </c>
      <c r="B295" s="13" t="n">
        <v>5.11</v>
      </c>
      <c r="C295" s="12" t="n">
        <v>110</v>
      </c>
      <c r="D295" s="13" t="n">
        <v>22</v>
      </c>
      <c r="E295" s="13" t="n">
        <v>38.5</v>
      </c>
      <c r="F295" s="12" t="n">
        <v>46</v>
      </c>
      <c r="G295" s="13" t="n">
        <v>15.33333333333334</v>
      </c>
      <c r="H295" s="21" t="n">
        <v>4.645454545454546</v>
      </c>
      <c r="I295" s="21" t="n">
        <v>4.52</v>
      </c>
    </row>
    <row r="296">
      <c r="A296" s="22" t="n">
        <v>44421</v>
      </c>
      <c r="B296" s="17" t="n">
        <v>4.7</v>
      </c>
      <c r="C296" s="16" t="n">
        <v>110</v>
      </c>
      <c r="D296" s="17" t="n">
        <v>22</v>
      </c>
      <c r="E296" s="17" t="n">
        <v>38.5</v>
      </c>
      <c r="F296" s="16" t="n">
        <v>46</v>
      </c>
      <c r="G296" s="17" t="n">
        <v>15.33333333333334</v>
      </c>
      <c r="H296" s="23" t="n">
        <v>4.272727272727272</v>
      </c>
      <c r="I296" s="23" t="n">
        <v>4.51</v>
      </c>
    </row>
    <row r="297">
      <c r="A297" s="20" t="n">
        <v>44428</v>
      </c>
      <c r="B297" s="13" t="n">
        <v>4.93</v>
      </c>
      <c r="C297" s="12" t="n">
        <v>150</v>
      </c>
      <c r="D297" s="13" t="n">
        <v>30</v>
      </c>
      <c r="E297" s="13" t="n">
        <v>52.5</v>
      </c>
      <c r="F297" s="12" t="n">
        <v>54</v>
      </c>
      <c r="G297" s="13" t="n">
        <v>18</v>
      </c>
      <c r="H297" s="21" t="n">
        <v>3.286666666666667</v>
      </c>
      <c r="I297" s="21" t="n">
        <v>4.4</v>
      </c>
    </row>
    <row r="298">
      <c r="A298" s="22" t="n">
        <v>44435</v>
      </c>
      <c r="B298" s="17" t="n">
        <v>4.97</v>
      </c>
      <c r="C298" s="16" t="n">
        <v>150</v>
      </c>
      <c r="D298" s="17" t="n">
        <v>30</v>
      </c>
      <c r="E298" s="17" t="n">
        <v>52.5</v>
      </c>
      <c r="F298" s="16" t="n">
        <v>54</v>
      </c>
      <c r="G298" s="17" t="n">
        <v>18</v>
      </c>
      <c r="H298" s="23" t="n">
        <v>3.313333333333333</v>
      </c>
      <c r="I298" s="23" t="n">
        <v>4.29</v>
      </c>
    </row>
    <row r="299">
      <c r="A299" s="20" t="n">
        <v>44442</v>
      </c>
      <c r="B299" s="13" t="n">
        <v>4.98</v>
      </c>
      <c r="C299" s="12" t="n">
        <v>150</v>
      </c>
      <c r="D299" s="13" t="n">
        <v>30</v>
      </c>
      <c r="E299" s="13" t="n">
        <v>52.5</v>
      </c>
      <c r="F299" s="12" t="n">
        <v>54</v>
      </c>
      <c r="G299" s="13" t="n">
        <v>18</v>
      </c>
      <c r="H299" s="21" t="n">
        <v>3.32</v>
      </c>
      <c r="I299" s="21" t="n">
        <v>4.2</v>
      </c>
    </row>
    <row r="300">
      <c r="A300" s="22" t="n">
        <v>44449</v>
      </c>
      <c r="B300" s="17" t="n">
        <v>4.91</v>
      </c>
      <c r="C300" s="16" t="n">
        <v>150</v>
      </c>
      <c r="D300" s="17" t="n">
        <v>30</v>
      </c>
      <c r="E300" s="17" t="n">
        <v>52.5</v>
      </c>
      <c r="F300" s="16" t="n">
        <v>54</v>
      </c>
      <c r="G300" s="17" t="n">
        <v>18</v>
      </c>
      <c r="H300" s="23" t="n">
        <v>3.273333333333333</v>
      </c>
      <c r="I300" s="23" t="n">
        <v>4.1</v>
      </c>
    </row>
    <row r="301">
      <c r="A301" s="20" t="n">
        <v>44456</v>
      </c>
      <c r="B301" s="13" t="n">
        <v>4.77</v>
      </c>
      <c r="C301" s="12" t="n">
        <v>150</v>
      </c>
      <c r="D301" s="13" t="n">
        <v>30</v>
      </c>
      <c r="E301" s="13" t="n">
        <v>52.5</v>
      </c>
      <c r="F301" s="12" t="n">
        <v>54</v>
      </c>
      <c r="G301" s="13" t="n">
        <v>18</v>
      </c>
      <c r="H301" s="21" t="n">
        <v>3.18</v>
      </c>
      <c r="I301" s="21" t="n">
        <v>3.99</v>
      </c>
    </row>
    <row r="302">
      <c r="A302" s="22" t="n">
        <v>44463</v>
      </c>
      <c r="B302" s="17" t="n">
        <v>4.97</v>
      </c>
      <c r="C302" s="16" t="n">
        <v>150</v>
      </c>
      <c r="D302" s="17" t="n">
        <v>30</v>
      </c>
      <c r="E302" s="17" t="n">
        <v>52.5</v>
      </c>
      <c r="F302" s="16" t="n">
        <v>54</v>
      </c>
      <c r="G302" s="17" t="n">
        <v>18</v>
      </c>
      <c r="H302" s="23" t="n">
        <v>3.313333333333333</v>
      </c>
      <c r="I302" s="23" t="n">
        <v>3.89</v>
      </c>
    </row>
    <row r="303">
      <c r="A303" s="20" t="n">
        <v>44470</v>
      </c>
      <c r="B303" s="13" t="n">
        <v>5.11</v>
      </c>
      <c r="C303" s="12" t="n">
        <v>150</v>
      </c>
      <c r="D303" s="13" t="n">
        <v>30</v>
      </c>
      <c r="E303" s="13" t="n">
        <v>52.5</v>
      </c>
      <c r="F303" s="12" t="n">
        <v>54</v>
      </c>
      <c r="G303" s="13" t="n">
        <v>18</v>
      </c>
      <c r="H303" s="21" t="n">
        <v>3.406666666666667</v>
      </c>
      <c r="I303" s="21" t="n">
        <v>3.79</v>
      </c>
    </row>
    <row r="304">
      <c r="A304" s="22" t="n">
        <v>44477</v>
      </c>
      <c r="B304" s="17" t="n">
        <v>4.78</v>
      </c>
      <c r="C304" s="16" t="n">
        <v>150</v>
      </c>
      <c r="D304" s="17" t="n">
        <v>30</v>
      </c>
      <c r="E304" s="17" t="n">
        <v>52.5</v>
      </c>
      <c r="F304" s="16" t="n">
        <v>54</v>
      </c>
      <c r="G304" s="17" t="n">
        <v>18</v>
      </c>
      <c r="H304" s="23" t="n">
        <v>3.186666666666667</v>
      </c>
      <c r="I304" s="23" t="n">
        <v>3.68</v>
      </c>
    </row>
    <row r="305">
      <c r="A305" s="20" t="n">
        <v>44484</v>
      </c>
      <c r="B305" s="13" t="n">
        <v>5.01</v>
      </c>
      <c r="C305" s="12" t="n">
        <v>150</v>
      </c>
      <c r="D305" s="13" t="n">
        <v>30</v>
      </c>
      <c r="E305" s="13" t="n">
        <v>52.5</v>
      </c>
      <c r="F305" s="12" t="n">
        <v>54</v>
      </c>
      <c r="G305" s="13" t="n">
        <v>18</v>
      </c>
      <c r="H305" s="21" t="n">
        <v>3.34</v>
      </c>
      <c r="I305" s="21" t="n">
        <v>3.59</v>
      </c>
    </row>
    <row r="306">
      <c r="A306" s="22" t="n">
        <v>44491</v>
      </c>
      <c r="B306" s="17" t="n">
        <v>4.89</v>
      </c>
      <c r="C306" s="16" t="n">
        <v>150</v>
      </c>
      <c r="D306" s="17" t="n">
        <v>30</v>
      </c>
      <c r="E306" s="17" t="n">
        <v>52.5</v>
      </c>
      <c r="F306" s="16" t="n">
        <v>54</v>
      </c>
      <c r="G306" s="17" t="n">
        <v>18</v>
      </c>
      <c r="H306" s="23" t="n">
        <v>3.26</v>
      </c>
      <c r="I306" s="23" t="n">
        <v>3.48</v>
      </c>
    </row>
    <row r="307">
      <c r="A307" s="20" t="n">
        <v>44498</v>
      </c>
      <c r="B307" s="13" t="n">
        <v>4.91</v>
      </c>
      <c r="C307" s="12" t="n">
        <v>150</v>
      </c>
      <c r="D307" s="13" t="n">
        <v>30</v>
      </c>
      <c r="E307" s="13" t="n">
        <v>52.5</v>
      </c>
      <c r="F307" s="12" t="n">
        <v>54</v>
      </c>
      <c r="G307" s="13" t="n">
        <v>18</v>
      </c>
      <c r="H307" s="21" t="n">
        <v>3.273333333333333</v>
      </c>
      <c r="I307" s="21" t="n">
        <v>3.37</v>
      </c>
    </row>
    <row r="308">
      <c r="A308" s="22" t="n">
        <v>44505</v>
      </c>
      <c r="B308" s="17" t="n">
        <v>4.81</v>
      </c>
      <c r="C308" s="16" t="n">
        <v>150</v>
      </c>
      <c r="D308" s="17" t="n">
        <v>30</v>
      </c>
      <c r="E308" s="17" t="n">
        <v>52.5</v>
      </c>
      <c r="F308" s="16" t="n">
        <v>54</v>
      </c>
      <c r="G308" s="17" t="n">
        <v>18</v>
      </c>
      <c r="H308" s="23" t="n">
        <v>3.206666666666667</v>
      </c>
      <c r="I308" s="23" t="n">
        <v>3.28</v>
      </c>
    </row>
    <row r="309">
      <c r="A309" s="20" t="n">
        <v>44512</v>
      </c>
      <c r="B309" s="13" t="n">
        <v>4.88</v>
      </c>
      <c r="C309" s="12" t="n">
        <v>150</v>
      </c>
      <c r="D309" s="13" t="n">
        <v>30</v>
      </c>
      <c r="E309" s="13" t="n">
        <v>52.5</v>
      </c>
      <c r="F309" s="12" t="n">
        <v>54</v>
      </c>
      <c r="G309" s="13" t="n">
        <v>18</v>
      </c>
      <c r="H309" s="21" t="n">
        <v>3.253333333333333</v>
      </c>
      <c r="I309" s="21" t="n">
        <v>3.28</v>
      </c>
    </row>
    <row r="310">
      <c r="A310" s="22" t="n">
        <v>44519</v>
      </c>
      <c r="B310" s="17" t="n">
        <v>5.04</v>
      </c>
      <c r="C310" s="16" t="n">
        <v>150</v>
      </c>
      <c r="D310" s="17" t="n">
        <v>30</v>
      </c>
      <c r="E310" s="17" t="n">
        <v>52.5</v>
      </c>
      <c r="F310" s="16" t="n">
        <v>54</v>
      </c>
      <c r="G310" s="17" t="n">
        <v>18</v>
      </c>
      <c r="H310" s="23" t="n">
        <v>3.36</v>
      </c>
      <c r="I310" s="23" t="n">
        <v>3.28</v>
      </c>
    </row>
    <row r="311">
      <c r="A311" s="20" t="n">
        <v>44526</v>
      </c>
      <c r="B311" s="13" t="n">
        <v>4.96</v>
      </c>
      <c r="C311" s="12" t="n">
        <v>150</v>
      </c>
      <c r="D311" s="13" t="n">
        <v>30</v>
      </c>
      <c r="E311" s="13" t="n">
        <v>52.5</v>
      </c>
      <c r="F311" s="12" t="n">
        <v>54</v>
      </c>
      <c r="G311" s="13" t="n">
        <v>18</v>
      </c>
      <c r="H311" s="21" t="n">
        <v>3.306666666666667</v>
      </c>
      <c r="I311" s="21" t="n">
        <v>3.28</v>
      </c>
    </row>
    <row r="312">
      <c r="A312" s="22" t="n">
        <v>44533</v>
      </c>
      <c r="B312" s="17" t="n">
        <v>5.07</v>
      </c>
      <c r="C312" s="16" t="n">
        <v>150</v>
      </c>
      <c r="D312" s="17" t="n">
        <v>30</v>
      </c>
      <c r="E312" s="17" t="n">
        <v>52.5</v>
      </c>
      <c r="F312" s="16" t="n">
        <v>54</v>
      </c>
      <c r="G312" s="17" t="n">
        <v>18</v>
      </c>
      <c r="H312" s="23" t="n">
        <v>3.38</v>
      </c>
      <c r="I312" s="23" t="n">
        <v>3.29</v>
      </c>
    </row>
    <row r="313">
      <c r="A313" s="20" t="n">
        <v>44540</v>
      </c>
      <c r="B313" s="13" t="n">
        <v>5.01</v>
      </c>
      <c r="C313" s="12" t="n">
        <v>150</v>
      </c>
      <c r="D313" s="13" t="n">
        <v>30</v>
      </c>
      <c r="E313" s="13" t="n">
        <v>52.5</v>
      </c>
      <c r="F313" s="12" t="n">
        <v>54</v>
      </c>
      <c r="G313" s="13" t="n">
        <v>18</v>
      </c>
      <c r="H313" s="21" t="n">
        <v>3.34</v>
      </c>
      <c r="I313" s="21" t="n">
        <v>3.3</v>
      </c>
    </row>
    <row r="314">
      <c r="A314" s="22" t="n">
        <v>44547</v>
      </c>
      <c r="B314" s="17" t="n">
        <v>4.93</v>
      </c>
      <c r="C314" s="16" t="n">
        <v>150</v>
      </c>
      <c r="D314" s="17" t="n">
        <v>30</v>
      </c>
      <c r="E314" s="17" t="n">
        <v>52.5</v>
      </c>
      <c r="F314" s="16" t="n">
        <v>54</v>
      </c>
      <c r="G314" s="17" t="n">
        <v>18</v>
      </c>
      <c r="H314" s="23" t="n">
        <v>3.286666666666667</v>
      </c>
      <c r="I314" s="23" t="n">
        <v>3.3</v>
      </c>
    </row>
    <row r="315">
      <c r="A315" s="20" t="n">
        <v>44554</v>
      </c>
      <c r="B315" s="13" t="n">
        <v>5.06</v>
      </c>
      <c r="C315" s="12" t="n">
        <v>150</v>
      </c>
      <c r="D315" s="13" t="n">
        <v>30</v>
      </c>
      <c r="E315" s="13" t="n">
        <v>52.5</v>
      </c>
      <c r="F315" s="12" t="n">
        <v>54</v>
      </c>
      <c r="G315" s="13" t="n">
        <v>18</v>
      </c>
      <c r="H315" s="21" t="n">
        <v>3.373333333333333</v>
      </c>
      <c r="I315" s="21" t="n">
        <v>3.3</v>
      </c>
    </row>
    <row r="316">
      <c r="A316" s="22" t="n">
        <v>44561</v>
      </c>
      <c r="B316" s="17" t="n">
        <v>4.92</v>
      </c>
      <c r="C316" s="16" t="n">
        <v>150</v>
      </c>
      <c r="D316" s="17" t="n">
        <v>30</v>
      </c>
      <c r="E316" s="17" t="n">
        <v>52.5</v>
      </c>
      <c r="F316" s="16" t="n">
        <v>54</v>
      </c>
      <c r="G316" s="17" t="n">
        <v>18</v>
      </c>
      <c r="H316" s="23" t="n">
        <v>3.28</v>
      </c>
      <c r="I316" s="23" t="n">
        <v>3.3</v>
      </c>
    </row>
    <row r="317">
      <c r="A317" s="20" t="n">
        <v>44568</v>
      </c>
      <c r="B317" s="13" t="n">
        <v>4.96</v>
      </c>
      <c r="C317" s="12" t="n">
        <v>150</v>
      </c>
      <c r="D317" s="13" t="n">
        <v>30</v>
      </c>
      <c r="E317" s="13" t="n">
        <v>52.5</v>
      </c>
      <c r="F317" s="12" t="n">
        <v>54</v>
      </c>
      <c r="G317" s="13" t="n">
        <v>18</v>
      </c>
      <c r="H317" s="21" t="n">
        <v>3.306666666666667</v>
      </c>
      <c r="I317" s="21" t="n">
        <v>3.3</v>
      </c>
    </row>
    <row r="318">
      <c r="A318" s="22" t="n">
        <v>44575</v>
      </c>
      <c r="B318" s="17" t="n">
        <v>4.84</v>
      </c>
      <c r="C318" s="16" t="n">
        <v>150</v>
      </c>
      <c r="D318" s="17" t="n">
        <v>30</v>
      </c>
      <c r="E318" s="17" t="n">
        <v>52.5</v>
      </c>
      <c r="F318" s="16" t="n">
        <v>54</v>
      </c>
      <c r="G318" s="17" t="n">
        <v>18</v>
      </c>
      <c r="H318" s="23" t="n">
        <v>3.226666666666667</v>
      </c>
      <c r="I318" s="23" t="n">
        <v>3.3</v>
      </c>
    </row>
    <row r="319">
      <c r="A319" s="20" t="n">
        <v>44582</v>
      </c>
      <c r="B319" s="13" t="n">
        <v>4.87</v>
      </c>
      <c r="C319" s="12" t="n">
        <v>150</v>
      </c>
      <c r="D319" s="13" t="n">
        <v>30</v>
      </c>
      <c r="E319" s="13" t="n">
        <v>52.5</v>
      </c>
      <c r="F319" s="12" t="n">
        <v>54</v>
      </c>
      <c r="G319" s="13" t="n">
        <v>18</v>
      </c>
      <c r="H319" s="21" t="n">
        <v>3.246666666666667</v>
      </c>
      <c r="I319" s="21" t="n">
        <v>3.3</v>
      </c>
    </row>
    <row r="320">
      <c r="A320" s="22" t="n">
        <v>44589</v>
      </c>
      <c r="B320" s="17" t="n">
        <v>4.79</v>
      </c>
      <c r="C320" s="16" t="n">
        <v>150</v>
      </c>
      <c r="D320" s="17" t="n">
        <v>30</v>
      </c>
      <c r="E320" s="17" t="n">
        <v>52.5</v>
      </c>
      <c r="F320" s="16" t="n">
        <v>54</v>
      </c>
      <c r="G320" s="17" t="n">
        <v>18</v>
      </c>
      <c r="H320" s="23" t="n">
        <v>3.193333333333333</v>
      </c>
      <c r="I320" s="23" t="n">
        <v>3.3</v>
      </c>
    </row>
    <row r="321">
      <c r="A321" s="20" t="n">
        <v>44596</v>
      </c>
      <c r="B321" s="13" t="n">
        <v>4.95</v>
      </c>
      <c r="C321" s="12" t="n">
        <v>150</v>
      </c>
      <c r="D321" s="13" t="n">
        <v>30</v>
      </c>
      <c r="E321" s="13" t="n">
        <v>52.5</v>
      </c>
      <c r="F321" s="12" t="n">
        <v>54</v>
      </c>
      <c r="G321" s="13" t="n">
        <v>18</v>
      </c>
      <c r="H321" s="21" t="n">
        <v>3.3</v>
      </c>
      <c r="I321" s="21" t="n">
        <v>3.3</v>
      </c>
    </row>
    <row r="322">
      <c r="A322" s="22" t="n">
        <v>44603</v>
      </c>
      <c r="B322" s="17" t="n">
        <v>4.73</v>
      </c>
      <c r="C322" s="16" t="n">
        <v>150</v>
      </c>
      <c r="D322" s="17" t="n">
        <v>30</v>
      </c>
      <c r="E322" s="17" t="n">
        <v>52.5</v>
      </c>
      <c r="F322" s="16" t="n">
        <v>54</v>
      </c>
      <c r="G322" s="17" t="n">
        <v>18</v>
      </c>
      <c r="H322" s="23" t="n">
        <v>3.153333333333334</v>
      </c>
      <c r="I322" s="23" t="n">
        <v>3.28</v>
      </c>
    </row>
    <row r="323">
      <c r="A323" s="20" t="n">
        <v>44610</v>
      </c>
      <c r="B323" s="13" t="n">
        <v>4.92</v>
      </c>
      <c r="C323" s="12" t="n">
        <v>165</v>
      </c>
      <c r="D323" s="13" t="n">
        <v>33</v>
      </c>
      <c r="E323" s="13" t="n">
        <v>57.75</v>
      </c>
      <c r="F323" s="12" t="n">
        <v>64</v>
      </c>
      <c r="G323" s="13" t="n">
        <v>21.33333333333334</v>
      </c>
      <c r="H323" s="21" t="n">
        <v>2.981818181818182</v>
      </c>
      <c r="I323" s="21" t="n">
        <v>3.26</v>
      </c>
    </row>
    <row r="324">
      <c r="A324" s="22" t="n">
        <v>44617</v>
      </c>
      <c r="B324" s="17" t="n">
        <v>4.82</v>
      </c>
      <c r="C324" s="16" t="n">
        <v>165</v>
      </c>
      <c r="D324" s="17" t="n">
        <v>33</v>
      </c>
      <c r="E324" s="17" t="n">
        <v>57.75</v>
      </c>
      <c r="F324" s="16" t="n">
        <v>64</v>
      </c>
      <c r="G324" s="17" t="n">
        <v>21.33333333333334</v>
      </c>
      <c r="H324" s="23" t="n">
        <v>2.921212121212121</v>
      </c>
      <c r="I324" s="23" t="n">
        <v>3.22</v>
      </c>
    </row>
    <row r="325">
      <c r="A325" s="20" t="n">
        <v>44624</v>
      </c>
      <c r="B325" s="13" t="n">
        <v>4.95</v>
      </c>
      <c r="C325" s="12" t="n">
        <v>165</v>
      </c>
      <c r="D325" s="13" t="n">
        <v>33</v>
      </c>
      <c r="E325" s="13" t="n">
        <v>57.75</v>
      </c>
      <c r="F325" s="12" t="n">
        <v>64</v>
      </c>
      <c r="G325" s="13" t="n">
        <v>21.33333333333334</v>
      </c>
      <c r="H325" s="21" t="n">
        <v>3</v>
      </c>
      <c r="I325" s="21" t="n">
        <v>3.19</v>
      </c>
    </row>
    <row r="326">
      <c r="A326" s="22" t="n">
        <v>44631</v>
      </c>
      <c r="B326" s="17" t="n">
        <v>4.9</v>
      </c>
      <c r="C326" s="16" t="n">
        <v>165</v>
      </c>
      <c r="D326" s="17" t="n">
        <v>33</v>
      </c>
      <c r="E326" s="17" t="n">
        <v>57.75</v>
      </c>
      <c r="F326" s="16" t="n">
        <v>64</v>
      </c>
      <c r="G326" s="17" t="n">
        <v>21.33333333333334</v>
      </c>
      <c r="H326" s="23" t="n">
        <v>2.96969696969697</v>
      </c>
      <c r="I326" s="23" t="n">
        <v>3.16</v>
      </c>
    </row>
    <row r="327">
      <c r="A327" s="20" t="n">
        <v>44638</v>
      </c>
      <c r="B327" s="13" t="n">
        <v>5</v>
      </c>
      <c r="C327" s="12" t="n">
        <v>165</v>
      </c>
      <c r="D327" s="13" t="n">
        <v>33</v>
      </c>
      <c r="E327" s="13" t="n">
        <v>57.75</v>
      </c>
      <c r="F327" s="12" t="n">
        <v>64</v>
      </c>
      <c r="G327" s="13" t="n">
        <v>21.33333333333334</v>
      </c>
      <c r="H327" s="21" t="n">
        <v>3.03030303030303</v>
      </c>
      <c r="I327" s="21" t="n">
        <v>3.13</v>
      </c>
    </row>
    <row r="328">
      <c r="A328" s="22" t="n">
        <v>44645</v>
      </c>
      <c r="B328" s="17" t="n">
        <v>4.89</v>
      </c>
      <c r="C328" s="16" t="n">
        <v>165</v>
      </c>
      <c r="D328" s="17" t="n">
        <v>33</v>
      </c>
      <c r="E328" s="17" t="n">
        <v>57.75</v>
      </c>
      <c r="F328" s="16" t="n">
        <v>64</v>
      </c>
      <c r="G328" s="17" t="n">
        <v>21.33333333333334</v>
      </c>
      <c r="H328" s="23" t="n">
        <v>2.963636363636363</v>
      </c>
      <c r="I328" s="23" t="n">
        <v>3.11</v>
      </c>
    </row>
    <row r="329">
      <c r="A329" s="20" t="n">
        <v>44652</v>
      </c>
      <c r="B329" s="13" t="n">
        <v>4.65</v>
      </c>
      <c r="C329" s="12" t="n">
        <v>165</v>
      </c>
      <c r="D329" s="13" t="n">
        <v>33</v>
      </c>
      <c r="E329" s="13" t="n">
        <v>57.75</v>
      </c>
      <c r="F329" s="12" t="n">
        <v>64</v>
      </c>
      <c r="G329" s="13" t="n">
        <v>21.33333333333334</v>
      </c>
      <c r="H329" s="21" t="n">
        <v>2.818181818181818</v>
      </c>
      <c r="I329" s="21" t="n">
        <v>3.07</v>
      </c>
    </row>
    <row r="330">
      <c r="A330" s="22" t="n">
        <v>44659</v>
      </c>
      <c r="B330" s="17" t="n">
        <v>4.79</v>
      </c>
      <c r="C330" s="16" t="n">
        <v>165</v>
      </c>
      <c r="D330" s="17" t="n">
        <v>33</v>
      </c>
      <c r="E330" s="17" t="n">
        <v>57.75</v>
      </c>
      <c r="F330" s="16" t="n">
        <v>64</v>
      </c>
      <c r="G330" s="17" t="n">
        <v>21.33333333333334</v>
      </c>
      <c r="H330" s="23" t="n">
        <v>2.903030303030303</v>
      </c>
      <c r="I330" s="23" t="n">
        <v>3.04</v>
      </c>
    </row>
    <row r="331">
      <c r="A331" s="20" t="n">
        <v>44666</v>
      </c>
      <c r="B331" s="13" t="n">
        <v>4.68</v>
      </c>
      <c r="C331" s="12" t="n">
        <v>165</v>
      </c>
      <c r="D331" s="13" t="n">
        <v>33</v>
      </c>
      <c r="E331" s="13" t="n">
        <v>57.75</v>
      </c>
      <c r="F331" s="12" t="n">
        <v>64</v>
      </c>
      <c r="G331" s="13" t="n">
        <v>21.33333333333334</v>
      </c>
      <c r="H331" s="21" t="n">
        <v>2.836363636363636</v>
      </c>
      <c r="I331" s="21" t="n">
        <v>3.01</v>
      </c>
    </row>
    <row r="332">
      <c r="A332" s="22" t="n">
        <v>44673</v>
      </c>
      <c r="B332" s="17" t="n">
        <v>4.73</v>
      </c>
      <c r="C332" s="16" t="n">
        <v>165</v>
      </c>
      <c r="D332" s="17" t="n">
        <v>33</v>
      </c>
      <c r="E332" s="17" t="n">
        <v>57.75</v>
      </c>
      <c r="F332" s="16" t="n">
        <v>64</v>
      </c>
      <c r="G332" s="17" t="n">
        <v>21.33333333333334</v>
      </c>
      <c r="H332" s="23" t="n">
        <v>2.866666666666667</v>
      </c>
      <c r="I332" s="23" t="n">
        <v>2.98</v>
      </c>
    </row>
    <row r="333">
      <c r="A333" s="20" t="n">
        <v>44680</v>
      </c>
      <c r="B333" s="13" t="n">
        <v>4.93</v>
      </c>
      <c r="C333" s="12" t="n">
        <v>165</v>
      </c>
      <c r="D333" s="13" t="n">
        <v>33</v>
      </c>
      <c r="E333" s="13" t="n">
        <v>57.75</v>
      </c>
      <c r="F333" s="12" t="n">
        <v>64</v>
      </c>
      <c r="G333" s="13" t="n">
        <v>21.33333333333334</v>
      </c>
      <c r="H333" s="21" t="n">
        <v>2.987878787878788</v>
      </c>
      <c r="I333" s="21" t="n">
        <v>2.95</v>
      </c>
    </row>
    <row r="334">
      <c r="A334" s="22" t="n">
        <v>44687</v>
      </c>
      <c r="B334" s="17" t="n">
        <v>4.84</v>
      </c>
      <c r="C334" s="16" t="n">
        <v>165</v>
      </c>
      <c r="D334" s="17" t="n">
        <v>33</v>
      </c>
      <c r="E334" s="17" t="n">
        <v>57.75</v>
      </c>
      <c r="F334" s="16" t="n">
        <v>64</v>
      </c>
      <c r="G334" s="17" t="n">
        <v>21.33333333333334</v>
      </c>
      <c r="H334" s="23" t="n">
        <v>2.933333333333334</v>
      </c>
      <c r="I334" s="23" t="n">
        <v>2.93</v>
      </c>
    </row>
    <row r="335">
      <c r="A335" s="20" t="n">
        <v>44694</v>
      </c>
      <c r="B335" s="13" t="n">
        <v>4.7</v>
      </c>
      <c r="C335" s="12" t="n">
        <v>165</v>
      </c>
      <c r="D335" s="13" t="n">
        <v>33</v>
      </c>
      <c r="E335" s="13" t="n">
        <v>57.75</v>
      </c>
      <c r="F335" s="12" t="n">
        <v>64</v>
      </c>
      <c r="G335" s="13" t="n">
        <v>21.33333333333334</v>
      </c>
      <c r="H335" s="21" t="n">
        <v>2.848484848484849</v>
      </c>
      <c r="I335" s="21" t="n">
        <v>2.92</v>
      </c>
    </row>
    <row r="336">
      <c r="A336" s="22" t="n">
        <v>44701</v>
      </c>
      <c r="B336" s="17" t="n">
        <v>4.66</v>
      </c>
      <c r="C336" s="16" t="n">
        <v>165</v>
      </c>
      <c r="D336" s="17" t="n">
        <v>33</v>
      </c>
      <c r="E336" s="17" t="n">
        <v>57.75</v>
      </c>
      <c r="F336" s="16" t="n">
        <v>64</v>
      </c>
      <c r="G336" s="17" t="n">
        <v>21.33333333333334</v>
      </c>
      <c r="H336" s="23" t="n">
        <v>2.824242424242425</v>
      </c>
      <c r="I336" s="23" t="n">
        <v>2.92</v>
      </c>
    </row>
    <row r="337">
      <c r="A337" s="20" t="n">
        <v>44708</v>
      </c>
      <c r="B337" s="13" t="n">
        <v>4.76</v>
      </c>
      <c r="C337" s="12" t="n">
        <v>165</v>
      </c>
      <c r="D337" s="13" t="n">
        <v>33</v>
      </c>
      <c r="E337" s="13" t="n">
        <v>57.75</v>
      </c>
      <c r="F337" s="12" t="n">
        <v>64</v>
      </c>
      <c r="G337" s="13" t="n">
        <v>21.33333333333334</v>
      </c>
      <c r="H337" s="21" t="n">
        <v>2.884848484848485</v>
      </c>
      <c r="I337" s="21" t="n">
        <v>2.91</v>
      </c>
    </row>
    <row r="338">
      <c r="A338" s="22" t="n">
        <v>44715</v>
      </c>
      <c r="B338" s="17" t="n">
        <v>4.62</v>
      </c>
      <c r="C338" s="16" t="n">
        <v>165</v>
      </c>
      <c r="D338" s="17" t="n">
        <v>33</v>
      </c>
      <c r="E338" s="17" t="n">
        <v>57.75</v>
      </c>
      <c r="F338" s="16" t="n">
        <v>64</v>
      </c>
      <c r="G338" s="17" t="n">
        <v>21.33333333333334</v>
      </c>
      <c r="H338" s="23" t="n">
        <v>2.8</v>
      </c>
      <c r="I338" s="23" t="n">
        <v>2.89</v>
      </c>
    </row>
    <row r="339">
      <c r="A339" s="20" t="n">
        <v>44722</v>
      </c>
      <c r="B339" s="13" t="n">
        <v>4.67</v>
      </c>
      <c r="C339" s="12" t="n">
        <v>165</v>
      </c>
      <c r="D339" s="13" t="n">
        <v>33</v>
      </c>
      <c r="E339" s="13" t="n">
        <v>57.75</v>
      </c>
      <c r="F339" s="12" t="n">
        <v>64</v>
      </c>
      <c r="G339" s="13" t="n">
        <v>21.33333333333334</v>
      </c>
      <c r="H339" s="21" t="n">
        <v>2.830303030303031</v>
      </c>
      <c r="I339" s="21" t="n">
        <v>2.87</v>
      </c>
    </row>
    <row r="340">
      <c r="A340" s="22" t="n">
        <v>44729</v>
      </c>
      <c r="B340" s="17" t="n">
        <v>4.76</v>
      </c>
      <c r="C340" s="16" t="n">
        <v>165</v>
      </c>
      <c r="D340" s="17" t="n">
        <v>33</v>
      </c>
      <c r="E340" s="17" t="n">
        <v>57.75</v>
      </c>
      <c r="F340" s="16" t="n">
        <v>64</v>
      </c>
      <c r="G340" s="17" t="n">
        <v>21.33333333333334</v>
      </c>
      <c r="H340" s="23" t="n">
        <v>2.884848484848485</v>
      </c>
      <c r="I340" s="23" t="n">
        <v>2.87</v>
      </c>
    </row>
    <row r="341">
      <c r="A341" s="20" t="n">
        <v>44736</v>
      </c>
      <c r="B341" s="13" t="n">
        <v>4.84</v>
      </c>
      <c r="C341" s="12" t="n">
        <v>165</v>
      </c>
      <c r="D341" s="13" t="n">
        <v>33</v>
      </c>
      <c r="E341" s="13" t="n">
        <v>57.75</v>
      </c>
      <c r="F341" s="12" t="n">
        <v>64</v>
      </c>
      <c r="G341" s="13" t="n">
        <v>21.33333333333334</v>
      </c>
      <c r="H341" s="21" t="n">
        <v>2.933333333333334</v>
      </c>
      <c r="I341" s="21" t="n">
        <v>2.88</v>
      </c>
    </row>
    <row r="342">
      <c r="A342" s="22" t="n">
        <v>44743</v>
      </c>
      <c r="B342" s="17" t="n">
        <v>4.78</v>
      </c>
      <c r="C342" s="16" t="n">
        <v>165</v>
      </c>
      <c r="D342" s="17" t="n">
        <v>33</v>
      </c>
      <c r="E342" s="17" t="n">
        <v>57.75</v>
      </c>
      <c r="F342" s="16" t="n">
        <v>64</v>
      </c>
      <c r="G342" s="17" t="n">
        <v>21.33333333333334</v>
      </c>
      <c r="H342" s="23" t="n">
        <v>2.896969696969697</v>
      </c>
      <c r="I342" s="23" t="n">
        <v>2.88</v>
      </c>
    </row>
    <row r="343">
      <c r="A343" s="20" t="n">
        <v>44750</v>
      </c>
      <c r="B343" s="13" t="n">
        <v>4.48</v>
      </c>
      <c r="C343" s="12" t="n">
        <v>165</v>
      </c>
      <c r="D343" s="13" t="n">
        <v>33</v>
      </c>
      <c r="E343" s="13" t="n">
        <v>57.75</v>
      </c>
      <c r="F343" s="12" t="n">
        <v>64</v>
      </c>
      <c r="G343" s="13" t="n">
        <v>21.33333333333334</v>
      </c>
      <c r="H343" s="21" t="n">
        <v>2.715151515151516</v>
      </c>
      <c r="I343" s="21" t="n">
        <v>2.87</v>
      </c>
    </row>
    <row r="344">
      <c r="A344" s="22" t="n">
        <v>44757</v>
      </c>
      <c r="B344" s="17" t="n">
        <v>4.73</v>
      </c>
      <c r="C344" s="16" t="n">
        <v>165</v>
      </c>
      <c r="D344" s="17" t="n">
        <v>33</v>
      </c>
      <c r="E344" s="17" t="n">
        <v>57.75</v>
      </c>
      <c r="F344" s="16" t="n">
        <v>64</v>
      </c>
      <c r="G344" s="17" t="n">
        <v>21.33333333333334</v>
      </c>
      <c r="H344" s="23" t="n">
        <v>2.866666666666667</v>
      </c>
      <c r="I344" s="23" t="n">
        <v>2.87</v>
      </c>
    </row>
    <row r="345">
      <c r="A345" s="20" t="n">
        <v>44764</v>
      </c>
      <c r="B345" s="13" t="n">
        <v>4.7</v>
      </c>
      <c r="C345" s="12" t="n">
        <v>165</v>
      </c>
      <c r="D345" s="13" t="n">
        <v>33</v>
      </c>
      <c r="E345" s="13" t="n">
        <v>57.75</v>
      </c>
      <c r="F345" s="12" t="n">
        <v>64</v>
      </c>
      <c r="G345" s="13" t="n">
        <v>21.33333333333334</v>
      </c>
      <c r="H345" s="21" t="n">
        <v>2.848484848484849</v>
      </c>
      <c r="I345" s="21" t="n">
        <v>2.86</v>
      </c>
    </row>
    <row r="346">
      <c r="A346" s="22" t="n">
        <v>44771</v>
      </c>
      <c r="B346" s="17" t="n">
        <v>4.73</v>
      </c>
      <c r="C346" s="16" t="n">
        <v>165</v>
      </c>
      <c r="D346" s="17" t="n">
        <v>33</v>
      </c>
      <c r="E346" s="17" t="n">
        <v>57.75</v>
      </c>
      <c r="F346" s="16" t="n">
        <v>64</v>
      </c>
      <c r="G346" s="17" t="n">
        <v>21.33333333333334</v>
      </c>
      <c r="H346" s="23" t="n">
        <v>2.866666666666667</v>
      </c>
      <c r="I346" s="23" t="n">
        <v>2.85</v>
      </c>
    </row>
    <row r="347">
      <c r="A347" s="20" t="n">
        <v>44778</v>
      </c>
      <c r="B347" s="13" t="n">
        <v>4.84</v>
      </c>
      <c r="C347" s="12" t="n">
        <v>165</v>
      </c>
      <c r="D347" s="13" t="n">
        <v>33</v>
      </c>
      <c r="E347" s="13" t="n">
        <v>57.75</v>
      </c>
      <c r="F347" s="12" t="n">
        <v>64</v>
      </c>
      <c r="G347" s="13" t="n">
        <v>21.33333333333334</v>
      </c>
      <c r="H347" s="21" t="n">
        <v>2.933333333333334</v>
      </c>
      <c r="I347" s="21" t="n">
        <v>2.86</v>
      </c>
    </row>
    <row r="348">
      <c r="A348" s="22" t="n">
        <v>44785</v>
      </c>
      <c r="B348" s="17" t="n">
        <v>4.46</v>
      </c>
      <c r="C348" s="16" t="n">
        <v>165</v>
      </c>
      <c r="D348" s="17" t="n">
        <v>33</v>
      </c>
      <c r="E348" s="17" t="n">
        <v>57.75</v>
      </c>
      <c r="F348" s="16" t="n">
        <v>64</v>
      </c>
      <c r="G348" s="17" t="n">
        <v>21.33333333333334</v>
      </c>
      <c r="H348" s="23" t="n">
        <v>2.703030303030303</v>
      </c>
      <c r="I348" s="23" t="n">
        <v>2.85</v>
      </c>
    </row>
    <row r="349">
      <c r="A349" s="20" t="n">
        <v>44792</v>
      </c>
      <c r="B349" s="13" t="n">
        <v>4.6</v>
      </c>
      <c r="C349" s="12" t="n">
        <v>178</v>
      </c>
      <c r="D349" s="13" t="n">
        <v>35.6</v>
      </c>
      <c r="E349" s="13" t="n">
        <v>62.3</v>
      </c>
      <c r="F349" s="12" t="n">
        <v>68</v>
      </c>
      <c r="G349" s="13" t="n">
        <v>22.66666666666667</v>
      </c>
      <c r="H349" s="21" t="n">
        <v>2.584269662921348</v>
      </c>
      <c r="I349" s="21" t="n">
        <v>2.82</v>
      </c>
    </row>
    <row r="350">
      <c r="A350" s="22" t="n">
        <v>44799</v>
      </c>
      <c r="B350" s="17" t="n">
        <v>4.71</v>
      </c>
      <c r="C350" s="16" t="n">
        <v>178</v>
      </c>
      <c r="D350" s="17" t="n">
        <v>35.6</v>
      </c>
      <c r="E350" s="17" t="n">
        <v>62.3</v>
      </c>
      <c r="F350" s="16" t="n">
        <v>68</v>
      </c>
      <c r="G350" s="17" t="n">
        <v>22.66666666666667</v>
      </c>
      <c r="H350" s="23" t="n">
        <v>2.646067415730337</v>
      </c>
      <c r="I350" s="23" t="n">
        <v>2.81</v>
      </c>
    </row>
    <row r="351">
      <c r="A351" s="20" t="n">
        <v>44806</v>
      </c>
      <c r="B351" s="13" t="n">
        <v>4.49</v>
      </c>
      <c r="C351" s="12" t="n">
        <v>178</v>
      </c>
      <c r="D351" s="13" t="n">
        <v>35.6</v>
      </c>
      <c r="E351" s="13" t="n">
        <v>62.3</v>
      </c>
      <c r="F351" s="12" t="n">
        <v>68</v>
      </c>
      <c r="G351" s="13" t="n">
        <v>22.66666666666667</v>
      </c>
      <c r="H351" s="21" t="n">
        <v>2.52247191011236</v>
      </c>
      <c r="I351" s="21" t="n">
        <v>2.78</v>
      </c>
    </row>
    <row r="352">
      <c r="A352" s="22" t="n">
        <v>44813</v>
      </c>
      <c r="B352" s="17" t="n">
        <v>4.78</v>
      </c>
      <c r="C352" s="16" t="n">
        <v>178</v>
      </c>
      <c r="D352" s="17" t="n">
        <v>35.6</v>
      </c>
      <c r="E352" s="17" t="n">
        <v>62.3</v>
      </c>
      <c r="F352" s="16" t="n">
        <v>68</v>
      </c>
      <c r="G352" s="17" t="n">
        <v>22.66666666666667</v>
      </c>
      <c r="H352" s="23" t="n">
        <v>2.685393258426966</v>
      </c>
      <c r="I352" s="23" t="n">
        <v>2.77</v>
      </c>
    </row>
    <row r="353">
      <c r="A353" s="20" t="n">
        <v>44820</v>
      </c>
      <c r="B353" s="13" t="n">
        <v>4.66</v>
      </c>
      <c r="C353" s="12" t="n">
        <v>178</v>
      </c>
      <c r="D353" s="13" t="n">
        <v>35.6</v>
      </c>
      <c r="E353" s="13" t="n">
        <v>62.3</v>
      </c>
      <c r="F353" s="12" t="n">
        <v>68</v>
      </c>
      <c r="G353" s="13" t="n">
        <v>22.66666666666667</v>
      </c>
      <c r="H353" s="21" t="n">
        <v>2.617977528089888</v>
      </c>
      <c r="I353" s="21" t="n">
        <v>2.74</v>
      </c>
    </row>
    <row r="354">
      <c r="A354" s="22" t="n">
        <v>44827</v>
      </c>
      <c r="B354" s="17" t="n">
        <v>4.7</v>
      </c>
      <c r="C354" s="16" t="n">
        <v>178</v>
      </c>
      <c r="D354" s="17" t="n">
        <v>35.6</v>
      </c>
      <c r="E354" s="17" t="n">
        <v>62.3</v>
      </c>
      <c r="F354" s="16" t="n">
        <v>68</v>
      </c>
      <c r="G354" s="17" t="n">
        <v>22.66666666666667</v>
      </c>
      <c r="H354" s="23" t="n">
        <v>2.640449438202247</v>
      </c>
      <c r="I354" s="23" t="n">
        <v>2.72</v>
      </c>
    </row>
    <row r="355">
      <c r="A355" s="20" t="n">
        <v>44834</v>
      </c>
      <c r="B355" s="13" t="n">
        <v>4.55</v>
      </c>
      <c r="C355" s="12" t="n">
        <v>178</v>
      </c>
      <c r="D355" s="13" t="n">
        <v>35.6</v>
      </c>
      <c r="E355" s="13" t="n">
        <v>62.3</v>
      </c>
      <c r="F355" s="12" t="n">
        <v>68</v>
      </c>
      <c r="G355" s="13" t="n">
        <v>22.66666666666667</v>
      </c>
      <c r="H355" s="21" t="n">
        <v>2.556179775280899</v>
      </c>
      <c r="I355" s="21" t="n">
        <v>2.71</v>
      </c>
    </row>
    <row r="356">
      <c r="A356" s="22" t="n">
        <v>44841</v>
      </c>
      <c r="B356" s="17" t="n">
        <v>4.68</v>
      </c>
      <c r="C356" s="16" t="n">
        <v>178</v>
      </c>
      <c r="D356" s="17" t="n">
        <v>35.6</v>
      </c>
      <c r="E356" s="17" t="n">
        <v>62.3</v>
      </c>
      <c r="F356" s="16" t="n">
        <v>68</v>
      </c>
      <c r="G356" s="17" t="n">
        <v>22.66666666666667</v>
      </c>
      <c r="H356" s="23" t="n">
        <v>2.629213483146067</v>
      </c>
      <c r="I356" s="23" t="n">
        <v>2.69</v>
      </c>
    </row>
    <row r="357">
      <c r="A357" s="20" t="n">
        <v>44848</v>
      </c>
      <c r="B357" s="13" t="n">
        <v>4.7</v>
      </c>
      <c r="C357" s="12" t="n">
        <v>178</v>
      </c>
      <c r="D357" s="13" t="n">
        <v>35.6</v>
      </c>
      <c r="E357" s="13" t="n">
        <v>62.3</v>
      </c>
      <c r="F357" s="12" t="n">
        <v>68</v>
      </c>
      <c r="G357" s="13" t="n">
        <v>22.66666666666667</v>
      </c>
      <c r="H357" s="21" t="n">
        <v>2.640449438202247</v>
      </c>
      <c r="I357" s="21" t="n">
        <v>2.67</v>
      </c>
    </row>
    <row r="358">
      <c r="A358" s="22" t="n">
        <v>44855</v>
      </c>
      <c r="B358" s="17" t="n">
        <v>4.61</v>
      </c>
      <c r="C358" s="16" t="n">
        <v>178</v>
      </c>
      <c r="D358" s="17" t="n">
        <v>35.6</v>
      </c>
      <c r="E358" s="17" t="n">
        <v>62.3</v>
      </c>
      <c r="F358" s="16" t="n">
        <v>68</v>
      </c>
      <c r="G358" s="17" t="n">
        <v>22.66666666666667</v>
      </c>
      <c r="H358" s="23" t="n">
        <v>2.589887640449438</v>
      </c>
      <c r="I358" s="23" t="n">
        <v>2.65</v>
      </c>
    </row>
    <row r="359">
      <c r="A359" s="20" t="n">
        <v>44862</v>
      </c>
      <c r="B359" s="13" t="n">
        <v>4.6</v>
      </c>
      <c r="C359" s="12" t="n">
        <v>178</v>
      </c>
      <c r="D359" s="13" t="n">
        <v>35.6</v>
      </c>
      <c r="E359" s="13" t="n">
        <v>62.3</v>
      </c>
      <c r="F359" s="12" t="n">
        <v>68</v>
      </c>
      <c r="G359" s="13" t="n">
        <v>22.66666666666667</v>
      </c>
      <c r="H359" s="21" t="n">
        <v>2.584269662921348</v>
      </c>
      <c r="I359" s="21" t="n">
        <v>2.62</v>
      </c>
    </row>
    <row r="360">
      <c r="A360" s="22" t="n">
        <v>44869</v>
      </c>
      <c r="B360" s="17" t="n">
        <v>4.59</v>
      </c>
      <c r="C360" s="16" t="n">
        <v>178</v>
      </c>
      <c r="D360" s="17" t="n">
        <v>35.6</v>
      </c>
      <c r="E360" s="17" t="n">
        <v>62.3</v>
      </c>
      <c r="F360" s="16" t="n">
        <v>68</v>
      </c>
      <c r="G360" s="17" t="n">
        <v>22.66666666666667</v>
      </c>
      <c r="H360" s="23" t="n">
        <v>2.578651685393258</v>
      </c>
      <c r="I360" s="23" t="n">
        <v>2.61</v>
      </c>
    </row>
    <row r="361">
      <c r="A361" s="20" t="n">
        <v>44876</v>
      </c>
      <c r="B361" s="13" t="n">
        <v>4.47</v>
      </c>
      <c r="C361" s="12" t="n">
        <v>178</v>
      </c>
      <c r="D361" s="13" t="n">
        <v>35.6</v>
      </c>
      <c r="E361" s="13" t="n">
        <v>62.3</v>
      </c>
      <c r="F361" s="12" t="n">
        <v>68</v>
      </c>
      <c r="G361" s="13" t="n">
        <v>22.66666666666667</v>
      </c>
      <c r="H361" s="21" t="n">
        <v>2.51123595505618</v>
      </c>
      <c r="I361" s="21" t="n">
        <v>2.6</v>
      </c>
    </row>
    <row r="362">
      <c r="A362" s="22" t="n">
        <v>44883</v>
      </c>
      <c r="B362" s="17" t="n">
        <v>4.53</v>
      </c>
      <c r="C362" s="16" t="n">
        <v>178</v>
      </c>
      <c r="D362" s="17" t="n">
        <v>35.6</v>
      </c>
      <c r="E362" s="17" t="n">
        <v>62.3</v>
      </c>
      <c r="F362" s="16" t="n">
        <v>68</v>
      </c>
      <c r="G362" s="17" t="n">
        <v>22.66666666666667</v>
      </c>
      <c r="H362" s="23" t="n">
        <v>2.544943820224719</v>
      </c>
      <c r="I362" s="23" t="n">
        <v>2.59</v>
      </c>
    </row>
    <row r="363">
      <c r="A363" s="20" t="n">
        <v>44890</v>
      </c>
      <c r="B363" s="13" t="n">
        <v>4.52</v>
      </c>
      <c r="C363" s="12" t="n">
        <v>178</v>
      </c>
      <c r="D363" s="13" t="n">
        <v>35.6</v>
      </c>
      <c r="E363" s="13" t="n">
        <v>62.3</v>
      </c>
      <c r="F363" s="12" t="n">
        <v>68</v>
      </c>
      <c r="G363" s="13" t="n">
        <v>22.66666666666667</v>
      </c>
      <c r="H363" s="21" t="n">
        <v>2.539325842696629</v>
      </c>
      <c r="I363" s="21" t="n">
        <v>2.59</v>
      </c>
    </row>
    <row r="364">
      <c r="A364" s="22" t="n">
        <v>44897</v>
      </c>
      <c r="B364" s="17" t="n">
        <v>4.57</v>
      </c>
      <c r="C364" s="16" t="n">
        <v>178</v>
      </c>
      <c r="D364" s="17" t="n">
        <v>35.6</v>
      </c>
      <c r="E364" s="17" t="n">
        <v>62.3</v>
      </c>
      <c r="F364" s="16" t="n">
        <v>68</v>
      </c>
      <c r="G364" s="17" t="n">
        <v>22.66666666666667</v>
      </c>
      <c r="H364" s="23" t="n">
        <v>2.567415730337079</v>
      </c>
      <c r="I364" s="23" t="n">
        <v>2.58</v>
      </c>
    </row>
    <row r="365">
      <c r="A365" s="20" t="n">
        <v>44904</v>
      </c>
      <c r="B365" s="13" t="n">
        <v>4.62</v>
      </c>
      <c r="C365" s="12" t="n">
        <v>178</v>
      </c>
      <c r="D365" s="13" t="n">
        <v>35.6</v>
      </c>
      <c r="E365" s="13" t="n">
        <v>62.3</v>
      </c>
      <c r="F365" s="12" t="n">
        <v>68</v>
      </c>
      <c r="G365" s="13" t="n">
        <v>22.66666666666667</v>
      </c>
      <c r="H365" s="21" t="n">
        <v>2.595505617977528</v>
      </c>
      <c r="I365" s="21" t="n">
        <v>2.58</v>
      </c>
    </row>
    <row r="366">
      <c r="A366" s="22" t="n">
        <v>44911</v>
      </c>
      <c r="B366" s="17" t="n">
        <v>4.4</v>
      </c>
      <c r="C366" s="16" t="n">
        <v>178</v>
      </c>
      <c r="D366" s="17" t="n">
        <v>35.6</v>
      </c>
      <c r="E366" s="17" t="n">
        <v>62.3</v>
      </c>
      <c r="F366" s="16" t="n">
        <v>68</v>
      </c>
      <c r="G366" s="17" t="n">
        <v>22.66666666666667</v>
      </c>
      <c r="H366" s="23" t="n">
        <v>2.471910112359551</v>
      </c>
      <c r="I366" s="23" t="n">
        <v>2.57</v>
      </c>
    </row>
    <row r="367">
      <c r="A367" s="20" t="n">
        <v>44918</v>
      </c>
      <c r="B367" s="13" t="n">
        <v>4.49</v>
      </c>
      <c r="C367" s="12" t="n">
        <v>178</v>
      </c>
      <c r="D367" s="13" t="n">
        <v>35.6</v>
      </c>
      <c r="E367" s="13" t="n">
        <v>62.3</v>
      </c>
      <c r="F367" s="12" t="n">
        <v>68</v>
      </c>
      <c r="G367" s="13" t="n">
        <v>22.66666666666667</v>
      </c>
      <c r="H367" s="21" t="n">
        <v>2.52247191011236</v>
      </c>
      <c r="I367" s="21" t="n">
        <v>2.56</v>
      </c>
    </row>
    <row r="368">
      <c r="A368" s="22" t="n">
        <v>44925</v>
      </c>
      <c r="B368" s="17" t="n">
        <v>4.64</v>
      </c>
      <c r="C368" s="16" t="n">
        <v>178</v>
      </c>
      <c r="D368" s="17" t="n">
        <v>35.6</v>
      </c>
      <c r="E368" s="17" t="n">
        <v>62.3</v>
      </c>
      <c r="F368" s="16" t="n">
        <v>68</v>
      </c>
      <c r="G368" s="17" t="n">
        <v>22.66666666666667</v>
      </c>
      <c r="H368" s="23" t="n">
        <v>2.606741573033708</v>
      </c>
      <c r="I368" s="23" t="n">
        <v>2.56</v>
      </c>
    </row>
    <row r="369">
      <c r="A369" s="20" t="n">
        <v>44932</v>
      </c>
      <c r="B369" s="13" t="n">
        <v>4.4</v>
      </c>
      <c r="C369" s="12" t="n">
        <v>178</v>
      </c>
      <c r="D369" s="13" t="n">
        <v>35.6</v>
      </c>
      <c r="E369" s="13" t="n">
        <v>62.3</v>
      </c>
      <c r="F369" s="12" t="n">
        <v>68</v>
      </c>
      <c r="G369" s="13" t="n">
        <v>22.66666666666667</v>
      </c>
      <c r="H369" s="21" t="n">
        <v>2.471910112359551</v>
      </c>
      <c r="I369" s="21" t="n">
        <v>2.55</v>
      </c>
    </row>
    <row r="370">
      <c r="A370" s="22" t="n">
        <v>44939</v>
      </c>
      <c r="B370" s="17" t="n">
        <v>4.39</v>
      </c>
      <c r="C370" s="16" t="n">
        <v>178</v>
      </c>
      <c r="D370" s="17" t="n">
        <v>35.6</v>
      </c>
      <c r="E370" s="17" t="n">
        <v>62.3</v>
      </c>
      <c r="F370" s="16" t="n">
        <v>68</v>
      </c>
      <c r="G370" s="17" t="n">
        <v>22.66666666666667</v>
      </c>
      <c r="H370" s="23" t="n">
        <v>2.46629213483146</v>
      </c>
      <c r="I370" s="23" t="n">
        <v>2.54</v>
      </c>
    </row>
    <row r="371">
      <c r="A371" s="20" t="n">
        <v>44946</v>
      </c>
      <c r="B371" s="13" t="n">
        <v>4.48</v>
      </c>
      <c r="C371" s="12" t="n">
        <v>178</v>
      </c>
      <c r="D371" s="13" t="n">
        <v>35.6</v>
      </c>
      <c r="E371" s="13" t="n">
        <v>62.3</v>
      </c>
      <c r="F371" s="12" t="n">
        <v>68</v>
      </c>
      <c r="G371" s="13" t="n">
        <v>22.66666666666667</v>
      </c>
      <c r="H371" s="21" t="n">
        <v>2.51685393258427</v>
      </c>
      <c r="I371" s="21" t="n">
        <v>2.53</v>
      </c>
    </row>
    <row r="372">
      <c r="A372" s="22" t="n">
        <v>44953</v>
      </c>
      <c r="B372" s="17" t="n">
        <v>4.53</v>
      </c>
      <c r="C372" s="16" t="n">
        <v>178</v>
      </c>
      <c r="D372" s="17" t="n">
        <v>35.6</v>
      </c>
      <c r="E372" s="17" t="n">
        <v>62.3</v>
      </c>
      <c r="F372" s="16" t="n">
        <v>68</v>
      </c>
      <c r="G372" s="17" t="n">
        <v>22.66666666666667</v>
      </c>
      <c r="H372" s="23" t="n">
        <v>2.544943820224719</v>
      </c>
      <c r="I372" s="23" t="n">
        <v>2.53</v>
      </c>
    </row>
    <row r="373">
      <c r="A373" s="20" t="n">
        <v>44960</v>
      </c>
      <c r="B373" s="13" t="n">
        <v>4.44</v>
      </c>
      <c r="C373" s="12" t="n">
        <v>178</v>
      </c>
      <c r="D373" s="13" t="n">
        <v>35.6</v>
      </c>
      <c r="E373" s="13" t="n">
        <v>62.3</v>
      </c>
      <c r="F373" s="12" t="n">
        <v>68</v>
      </c>
      <c r="G373" s="13" t="n">
        <v>22.66666666666667</v>
      </c>
      <c r="H373" s="21" t="n">
        <v>2.49438202247191</v>
      </c>
      <c r="I373" s="21" t="n">
        <v>2.53</v>
      </c>
    </row>
    <row r="374">
      <c r="A374" s="22" t="n">
        <v>44967</v>
      </c>
      <c r="B374" s="17" t="n">
        <v>4.56</v>
      </c>
      <c r="C374" s="16" t="n">
        <v>178</v>
      </c>
      <c r="D374" s="17" t="n">
        <v>35.6</v>
      </c>
      <c r="E374" s="17" t="n">
        <v>62.3</v>
      </c>
      <c r="F374" s="16" t="n">
        <v>68</v>
      </c>
      <c r="G374" s="17" t="n">
        <v>22.66666666666667</v>
      </c>
      <c r="H374" s="23" t="n">
        <v>2.561797752808988</v>
      </c>
      <c r="I374" s="23" t="n">
        <v>2.53</v>
      </c>
    </row>
    <row r="375">
      <c r="A375" s="20" t="n">
        <v>44974</v>
      </c>
      <c r="B375" s="13" t="n">
        <v>4.5</v>
      </c>
      <c r="C375" s="12" t="n">
        <v>155</v>
      </c>
      <c r="D375" s="13" t="n">
        <v>31</v>
      </c>
      <c r="E375" s="13" t="n">
        <v>54.25</v>
      </c>
      <c r="F375" s="12" t="n">
        <v>62</v>
      </c>
      <c r="G375" s="13" t="n">
        <v>20.66666666666667</v>
      </c>
      <c r="H375" s="21" t="n">
        <v>2.903225806451613</v>
      </c>
      <c r="I375" s="21" t="n">
        <v>2.56</v>
      </c>
    </row>
    <row r="376">
      <c r="A376" s="22" t="n">
        <v>44981</v>
      </c>
      <c r="B376" s="17" t="n">
        <v>4.49</v>
      </c>
      <c r="C376" s="16" t="n">
        <v>155</v>
      </c>
      <c r="D376" s="17" t="n">
        <v>31</v>
      </c>
      <c r="E376" s="17" t="n">
        <v>54.25</v>
      </c>
      <c r="F376" s="16" t="n">
        <v>62</v>
      </c>
      <c r="G376" s="17" t="n">
        <v>20.66666666666667</v>
      </c>
      <c r="H376" s="23" t="n">
        <v>2.896774193548387</v>
      </c>
      <c r="I376" s="23" t="n">
        <v>2.59</v>
      </c>
    </row>
    <row r="377">
      <c r="A377" s="20" t="n">
        <v>44988</v>
      </c>
      <c r="B377" s="13" t="n">
        <v>4.45</v>
      </c>
      <c r="C377" s="12" t="n">
        <v>155</v>
      </c>
      <c r="D377" s="13" t="n">
        <v>31</v>
      </c>
      <c r="E377" s="13" t="n">
        <v>54.25</v>
      </c>
      <c r="F377" s="12" t="n">
        <v>62</v>
      </c>
      <c r="G377" s="13" t="n">
        <v>20.66666666666667</v>
      </c>
      <c r="H377" s="21" t="n">
        <v>2.870967741935484</v>
      </c>
      <c r="I377" s="21" t="n">
        <v>2.61</v>
      </c>
    </row>
    <row r="378">
      <c r="A378" s="22" t="n">
        <v>44995</v>
      </c>
      <c r="B378" s="17" t="n">
        <v>4.62</v>
      </c>
      <c r="C378" s="16" t="n">
        <v>155</v>
      </c>
      <c r="D378" s="17" t="n">
        <v>31</v>
      </c>
      <c r="E378" s="17" t="n">
        <v>54.25</v>
      </c>
      <c r="F378" s="16" t="n">
        <v>62</v>
      </c>
      <c r="G378" s="17" t="n">
        <v>20.66666666666667</v>
      </c>
      <c r="H378" s="23" t="n">
        <v>2.980645161290322</v>
      </c>
      <c r="I378" s="23" t="n">
        <v>2.65</v>
      </c>
    </row>
    <row r="379">
      <c r="A379" s="20" t="n">
        <v>45002</v>
      </c>
      <c r="B379" s="13" t="n">
        <v>4.35</v>
      </c>
      <c r="C379" s="12" t="n">
        <v>155</v>
      </c>
      <c r="D379" s="13" t="n">
        <v>31</v>
      </c>
      <c r="E379" s="13" t="n">
        <v>54.25</v>
      </c>
      <c r="F379" s="12" t="n">
        <v>62</v>
      </c>
      <c r="G379" s="13" t="n">
        <v>20.66666666666667</v>
      </c>
      <c r="H379" s="21" t="n">
        <v>2.806451612903226</v>
      </c>
      <c r="I379" s="21" t="n">
        <v>2.68</v>
      </c>
    </row>
    <row r="380">
      <c r="A380" s="22" t="n">
        <v>45009</v>
      </c>
      <c r="B380" s="17" t="n">
        <v>4.16</v>
      </c>
      <c r="C380" s="16" t="n">
        <v>155</v>
      </c>
      <c r="D380" s="17" t="n">
        <v>31</v>
      </c>
      <c r="E380" s="17" t="n">
        <v>54.25</v>
      </c>
      <c r="F380" s="16" t="n">
        <v>62</v>
      </c>
      <c r="G380" s="17" t="n">
        <v>20.66666666666667</v>
      </c>
      <c r="H380" s="23" t="n">
        <v>2.683870967741936</v>
      </c>
      <c r="I380" s="23" t="n">
        <v>2.68</v>
      </c>
    </row>
    <row r="381">
      <c r="A381" s="20" t="n">
        <v>45016</v>
      </c>
      <c r="B381" s="13" t="n">
        <v>4.51</v>
      </c>
      <c r="C381" s="12" t="n">
        <v>155</v>
      </c>
      <c r="D381" s="13" t="n">
        <v>31</v>
      </c>
      <c r="E381" s="13" t="n">
        <v>54.25</v>
      </c>
      <c r="F381" s="12" t="n">
        <v>62</v>
      </c>
      <c r="G381" s="13" t="n">
        <v>20.66666666666667</v>
      </c>
      <c r="H381" s="21" t="n">
        <v>2.909677419354839</v>
      </c>
      <c r="I381" s="21" t="n">
        <v>2.72</v>
      </c>
    </row>
    <row r="382">
      <c r="A382" s="22" t="n">
        <v>45023</v>
      </c>
      <c r="B382" s="17" t="n">
        <v>4.29</v>
      </c>
      <c r="C382" s="16" t="n">
        <v>155</v>
      </c>
      <c r="D382" s="17" t="n">
        <v>31</v>
      </c>
      <c r="E382" s="17" t="n">
        <v>54.25</v>
      </c>
      <c r="F382" s="16" t="n">
        <v>62</v>
      </c>
      <c r="G382" s="17" t="n">
        <v>20.66666666666667</v>
      </c>
      <c r="H382" s="23" t="n">
        <v>2.767741935483871</v>
      </c>
      <c r="I382" s="23" t="n">
        <v>2.74</v>
      </c>
    </row>
    <row r="383">
      <c r="A383" s="20" t="n">
        <v>45030</v>
      </c>
      <c r="B383" s="13" t="n">
        <v>4.34</v>
      </c>
      <c r="C383" s="12" t="n">
        <v>155</v>
      </c>
      <c r="D383" s="13" t="n">
        <v>31</v>
      </c>
      <c r="E383" s="13" t="n">
        <v>54.25</v>
      </c>
      <c r="F383" s="12" t="n">
        <v>62</v>
      </c>
      <c r="G383" s="13" t="n">
        <v>20.66666666666667</v>
      </c>
      <c r="H383" s="21" t="n">
        <v>2.8</v>
      </c>
      <c r="I383" s="21" t="n">
        <v>2.77</v>
      </c>
    </row>
    <row r="384">
      <c r="A384" s="22" t="n">
        <v>45037</v>
      </c>
      <c r="B384" s="17" t="n">
        <v>4.45</v>
      </c>
      <c r="C384" s="16" t="n">
        <v>155</v>
      </c>
      <c r="D384" s="17" t="n">
        <v>31</v>
      </c>
      <c r="E384" s="17" t="n">
        <v>54.25</v>
      </c>
      <c r="F384" s="16" t="n">
        <v>62</v>
      </c>
      <c r="G384" s="17" t="n">
        <v>20.66666666666667</v>
      </c>
      <c r="H384" s="23" t="n">
        <v>2.870967741935484</v>
      </c>
      <c r="I384" s="23" t="n">
        <v>2.8</v>
      </c>
    </row>
    <row r="385">
      <c r="A385" s="20" t="n">
        <v>45044</v>
      </c>
      <c r="B385" s="13" t="n">
        <v>4.15</v>
      </c>
      <c r="C385" s="12" t="n">
        <v>155</v>
      </c>
      <c r="D385" s="13" t="n">
        <v>31</v>
      </c>
      <c r="E385" s="13" t="n">
        <v>54.25</v>
      </c>
      <c r="F385" s="12" t="n">
        <v>62</v>
      </c>
      <c r="G385" s="13" t="n">
        <v>20.66666666666667</v>
      </c>
      <c r="H385" s="21" t="n">
        <v>2.67741935483871</v>
      </c>
      <c r="I385" s="21" t="n">
        <v>2.81</v>
      </c>
    </row>
    <row r="386">
      <c r="A386" s="22" t="n">
        <v>45051</v>
      </c>
      <c r="B386" s="17" t="n">
        <v>4.17</v>
      </c>
      <c r="C386" s="16" t="n">
        <v>155</v>
      </c>
      <c r="D386" s="17" t="n">
        <v>31</v>
      </c>
      <c r="E386" s="17" t="n">
        <v>54.25</v>
      </c>
      <c r="F386" s="16" t="n">
        <v>62</v>
      </c>
      <c r="G386" s="17" t="n">
        <v>20.66666666666667</v>
      </c>
      <c r="H386" s="23" t="n">
        <v>2.690322580645161</v>
      </c>
      <c r="I386" s="23" t="n">
        <v>2.82</v>
      </c>
    </row>
    <row r="387">
      <c r="A387" s="20" t="n">
        <v>45058</v>
      </c>
      <c r="B387" s="13" t="n">
        <v>4.12</v>
      </c>
      <c r="C387" s="12" t="n">
        <v>155</v>
      </c>
      <c r="D387" s="13" t="n">
        <v>31</v>
      </c>
      <c r="E387" s="13" t="n">
        <v>54.25</v>
      </c>
      <c r="F387" s="12" t="n">
        <v>62</v>
      </c>
      <c r="G387" s="13" t="n">
        <v>20.66666666666667</v>
      </c>
      <c r="H387" s="21" t="n">
        <v>2.658064516129032</v>
      </c>
      <c r="I387" s="21" t="n">
        <v>2.8</v>
      </c>
    </row>
    <row r="388">
      <c r="A388" s="22" t="n">
        <v>45065</v>
      </c>
      <c r="B388" s="17" t="n">
        <v>4.19</v>
      </c>
      <c r="C388" s="16" t="n">
        <v>155</v>
      </c>
      <c r="D388" s="17" t="n">
        <v>31</v>
      </c>
      <c r="E388" s="17" t="n">
        <v>54.25</v>
      </c>
      <c r="F388" s="16" t="n">
        <v>62</v>
      </c>
      <c r="G388" s="17" t="n">
        <v>20.66666666666667</v>
      </c>
      <c r="H388" s="23" t="n">
        <v>2.703225806451613</v>
      </c>
      <c r="I388" s="23" t="n">
        <v>2.78</v>
      </c>
    </row>
    <row r="389">
      <c r="A389" s="20" t="n">
        <v>45072</v>
      </c>
      <c r="B389" s="13" t="n">
        <v>4.3</v>
      </c>
      <c r="C389" s="12" t="n">
        <v>155</v>
      </c>
      <c r="D389" s="13" t="n">
        <v>31</v>
      </c>
      <c r="E389" s="13" t="n">
        <v>54.25</v>
      </c>
      <c r="F389" s="12" t="n">
        <v>62</v>
      </c>
      <c r="G389" s="13" t="n">
        <v>20.66666666666667</v>
      </c>
      <c r="H389" s="21" t="n">
        <v>2.774193548387097</v>
      </c>
      <c r="I389" s="21" t="n">
        <v>2.78</v>
      </c>
    </row>
    <row r="390">
      <c r="A390" s="22" t="n">
        <v>45079</v>
      </c>
      <c r="B390" s="17" t="n">
        <v>4.3</v>
      </c>
      <c r="C390" s="16" t="n">
        <v>155</v>
      </c>
      <c r="D390" s="17" t="n">
        <v>31</v>
      </c>
      <c r="E390" s="17" t="n">
        <v>54.25</v>
      </c>
      <c r="F390" s="16" t="n">
        <v>62</v>
      </c>
      <c r="G390" s="17" t="n">
        <v>20.66666666666667</v>
      </c>
      <c r="H390" s="23" t="n">
        <v>2.774193548387097</v>
      </c>
      <c r="I390" s="23" t="n">
        <v>2.76</v>
      </c>
    </row>
    <row r="391">
      <c r="A391" s="20" t="n">
        <v>45086</v>
      </c>
      <c r="B391" s="13" t="n">
        <v>4.26</v>
      </c>
      <c r="C391" s="12" t="n">
        <v>155</v>
      </c>
      <c r="D391" s="13" t="n">
        <v>31</v>
      </c>
      <c r="E391" s="13" t="n">
        <v>54.25</v>
      </c>
      <c r="F391" s="12" t="n">
        <v>62</v>
      </c>
      <c r="G391" s="13" t="n">
        <v>20.66666666666667</v>
      </c>
      <c r="H391" s="21" t="n">
        <v>2.748387096774193</v>
      </c>
      <c r="I391" s="21" t="n">
        <v>2.75</v>
      </c>
    </row>
    <row r="392">
      <c r="A392" s="22" t="n">
        <v>45093</v>
      </c>
      <c r="B392" s="17" t="n">
        <v>4.08</v>
      </c>
      <c r="C392" s="16" t="n">
        <v>155</v>
      </c>
      <c r="D392" s="17" t="n">
        <v>31</v>
      </c>
      <c r="E392" s="17" t="n">
        <v>54.25</v>
      </c>
      <c r="F392" s="16" t="n">
        <v>62</v>
      </c>
      <c r="G392" s="17" t="n">
        <v>20.66666666666667</v>
      </c>
      <c r="H392" s="23" t="n">
        <v>2.632258064516129</v>
      </c>
      <c r="I392" s="23" t="n">
        <v>2.75</v>
      </c>
    </row>
    <row r="393">
      <c r="A393" s="20" t="n">
        <v>45100</v>
      </c>
      <c r="B393" s="13" t="n">
        <v>3.98</v>
      </c>
      <c r="C393" s="12" t="n">
        <v>155</v>
      </c>
      <c r="D393" s="13" t="n">
        <v>31</v>
      </c>
      <c r="E393" s="13" t="n">
        <v>54.25</v>
      </c>
      <c r="F393" s="12" t="n">
        <v>62</v>
      </c>
      <c r="G393" s="13" t="n">
        <v>20.66666666666667</v>
      </c>
      <c r="H393" s="21" t="n">
        <v>2.567741935483871</v>
      </c>
      <c r="I393" s="21" t="n">
        <v>2.72</v>
      </c>
    </row>
    <row r="394">
      <c r="A394" s="22" t="n">
        <v>45107</v>
      </c>
      <c r="B394" s="17" t="n">
        <v>4.21</v>
      </c>
      <c r="C394" s="16" t="n">
        <v>155</v>
      </c>
      <c r="D394" s="17" t="n">
        <v>31</v>
      </c>
      <c r="E394" s="17" t="n">
        <v>54.25</v>
      </c>
      <c r="F394" s="16" t="n">
        <v>62</v>
      </c>
      <c r="G394" s="17" t="n">
        <v>20.66666666666667</v>
      </c>
      <c r="H394" s="23" t="n">
        <v>2.716129032258064</v>
      </c>
      <c r="I394" s="23" t="n">
        <v>2.72</v>
      </c>
    </row>
    <row r="395">
      <c r="A395" s="20" t="n">
        <v>45114</v>
      </c>
      <c r="B395" s="13" t="n">
        <v>4.14</v>
      </c>
      <c r="C395" s="12" t="n">
        <v>155</v>
      </c>
      <c r="D395" s="13" t="n">
        <v>31</v>
      </c>
      <c r="E395" s="13" t="n">
        <v>54.25</v>
      </c>
      <c r="F395" s="12" t="n">
        <v>62</v>
      </c>
      <c r="G395" s="13" t="n">
        <v>20.66666666666667</v>
      </c>
      <c r="H395" s="21" t="n">
        <v>2.670967741935484</v>
      </c>
      <c r="I395" s="21" t="n">
        <v>2.71</v>
      </c>
    </row>
    <row r="396">
      <c r="A396" s="22" t="n">
        <v>45121</v>
      </c>
      <c r="B396" s="17" t="n">
        <v>4.22</v>
      </c>
      <c r="C396" s="16" t="n">
        <v>155</v>
      </c>
      <c r="D396" s="17" t="n">
        <v>31</v>
      </c>
      <c r="E396" s="17" t="n">
        <v>54.25</v>
      </c>
      <c r="F396" s="16" t="n">
        <v>62</v>
      </c>
      <c r="G396" s="17" t="n">
        <v>20.66666666666667</v>
      </c>
      <c r="H396" s="23" t="n">
        <v>2.72258064516129</v>
      </c>
      <c r="I396" s="23" t="n">
        <v>2.69</v>
      </c>
    </row>
    <row r="397">
      <c r="A397" s="20" t="n">
        <v>45128</v>
      </c>
      <c r="B397" s="13" t="n">
        <v>4.24</v>
      </c>
      <c r="C397" s="12" t="n">
        <v>155</v>
      </c>
      <c r="D397" s="13" t="n">
        <v>31</v>
      </c>
      <c r="E397" s="13" t="n">
        <v>54.25</v>
      </c>
      <c r="F397" s="12" t="n">
        <v>62</v>
      </c>
      <c r="G397" s="13" t="n">
        <v>20.66666666666667</v>
      </c>
      <c r="H397" s="21" t="n">
        <v>2.735483870967742</v>
      </c>
      <c r="I397" s="21" t="n">
        <v>2.7</v>
      </c>
    </row>
    <row r="398">
      <c r="A398" s="22" t="n">
        <v>45135</v>
      </c>
      <c r="B398" s="17" t="n">
        <v>4.17</v>
      </c>
      <c r="C398" s="16" t="n">
        <v>155</v>
      </c>
      <c r="D398" s="17" t="n">
        <v>31</v>
      </c>
      <c r="E398" s="17" t="n">
        <v>54.25</v>
      </c>
      <c r="F398" s="16" t="n">
        <v>62</v>
      </c>
      <c r="G398" s="17" t="n">
        <v>20.66666666666667</v>
      </c>
      <c r="H398" s="23" t="n">
        <v>2.690322580645161</v>
      </c>
      <c r="I398" s="23" t="n">
        <v>2.7</v>
      </c>
    </row>
    <row r="399">
      <c r="A399" s="20" t="n">
        <v>45142</v>
      </c>
      <c r="B399" s="13" t="n">
        <v>4.22</v>
      </c>
      <c r="C399" s="12" t="n">
        <v>155</v>
      </c>
      <c r="D399" s="13" t="n">
        <v>31</v>
      </c>
      <c r="E399" s="13" t="n">
        <v>54.25</v>
      </c>
      <c r="F399" s="12" t="n">
        <v>62</v>
      </c>
      <c r="G399" s="13" t="n">
        <v>20.66666666666667</v>
      </c>
      <c r="H399" s="21" t="n">
        <v>2.72258064516129</v>
      </c>
      <c r="I399" s="21" t="n">
        <v>2.7</v>
      </c>
    </row>
    <row r="400">
      <c r="A400" s="22" t="n">
        <v>45149</v>
      </c>
      <c r="B400" s="17" t="n">
        <v>4.15</v>
      </c>
      <c r="C400" s="16" t="n">
        <v>155</v>
      </c>
      <c r="D400" s="17" t="n">
        <v>31</v>
      </c>
      <c r="E400" s="17" t="n">
        <v>54.25</v>
      </c>
      <c r="F400" s="16" t="n">
        <v>62</v>
      </c>
      <c r="G400" s="17" t="n">
        <v>20.66666666666667</v>
      </c>
      <c r="H400" s="23" t="n">
        <v>2.67741935483871</v>
      </c>
      <c r="I400" s="23" t="n">
        <v>2.7</v>
      </c>
    </row>
    <row r="401">
      <c r="A401" s="20" t="n">
        <v>45156</v>
      </c>
      <c r="B401" s="13" t="n">
        <v>4.17</v>
      </c>
      <c r="C401" s="12" t="n">
        <v>131</v>
      </c>
      <c r="D401" s="13" t="n">
        <v>26.2</v>
      </c>
      <c r="E401" s="13" t="n">
        <v>45.85</v>
      </c>
      <c r="F401" s="12" t="n">
        <v>57</v>
      </c>
      <c r="G401" s="13" t="n">
        <v>19</v>
      </c>
      <c r="H401" s="21" t="n">
        <v>3.183206106870229</v>
      </c>
      <c r="I401" s="21" t="n">
        <v>2.74</v>
      </c>
    </row>
    <row r="402">
      <c r="A402" s="22" t="n">
        <v>45163</v>
      </c>
      <c r="B402" s="17" t="n">
        <v>4.03</v>
      </c>
      <c r="C402" s="16" t="n">
        <v>131</v>
      </c>
      <c r="D402" s="17" t="n">
        <v>26.2</v>
      </c>
      <c r="E402" s="17" t="n">
        <v>45.85</v>
      </c>
      <c r="F402" s="16" t="n">
        <v>57</v>
      </c>
      <c r="G402" s="17" t="n">
        <v>19</v>
      </c>
      <c r="H402" s="23" t="n">
        <v>3.076335877862595</v>
      </c>
      <c r="I402" s="23" t="n">
        <v>2.76</v>
      </c>
    </row>
    <row r="403">
      <c r="A403" s="20" t="n">
        <v>45170</v>
      </c>
      <c r="B403" s="13" t="n">
        <v>4.07</v>
      </c>
      <c r="C403" s="12" t="n">
        <v>131</v>
      </c>
      <c r="D403" s="13" t="n">
        <v>26.2</v>
      </c>
      <c r="E403" s="13" t="n">
        <v>45.85</v>
      </c>
      <c r="F403" s="12" t="n">
        <v>57</v>
      </c>
      <c r="G403" s="13" t="n">
        <v>19</v>
      </c>
      <c r="H403" s="21" t="n">
        <v>3.106870229007634</v>
      </c>
      <c r="I403" s="21" t="n">
        <v>2.79</v>
      </c>
    </row>
    <row r="404">
      <c r="A404" s="22" t="n">
        <v>45177</v>
      </c>
      <c r="B404" s="17" t="n">
        <v>4.1</v>
      </c>
      <c r="C404" s="16" t="n">
        <v>131</v>
      </c>
      <c r="D404" s="17" t="n">
        <v>26.2</v>
      </c>
      <c r="E404" s="17" t="n">
        <v>45.85</v>
      </c>
      <c r="F404" s="16" t="n">
        <v>57</v>
      </c>
      <c r="G404" s="17" t="n">
        <v>19</v>
      </c>
      <c r="H404" s="23" t="n">
        <v>3.129770992366412</v>
      </c>
      <c r="I404" s="23" t="n">
        <v>2.83</v>
      </c>
    </row>
    <row r="405">
      <c r="A405" s="20" t="n">
        <v>45184</v>
      </c>
      <c r="B405" s="13" t="n">
        <v>4.15</v>
      </c>
      <c r="C405" s="12" t="n">
        <v>131</v>
      </c>
      <c r="D405" s="13" t="n">
        <v>26.2</v>
      </c>
      <c r="E405" s="13" t="n">
        <v>45.85</v>
      </c>
      <c r="F405" s="12" t="n">
        <v>57</v>
      </c>
      <c r="G405" s="13" t="n">
        <v>19</v>
      </c>
      <c r="H405" s="21" t="n">
        <v>3.16793893129771</v>
      </c>
      <c r="I405" s="21" t="n">
        <v>2.88</v>
      </c>
    </row>
    <row r="406">
      <c r="A406" s="22" t="n">
        <v>45191</v>
      </c>
      <c r="B406" s="17" t="n">
        <v>4.01</v>
      </c>
      <c r="C406" s="16" t="n">
        <v>131</v>
      </c>
      <c r="D406" s="17" t="n">
        <v>26.2</v>
      </c>
      <c r="E406" s="17" t="n">
        <v>45.85</v>
      </c>
      <c r="F406" s="16" t="n">
        <v>57</v>
      </c>
      <c r="G406" s="17" t="n">
        <v>19</v>
      </c>
      <c r="H406" s="23" t="n">
        <v>3.061068702290076</v>
      </c>
      <c r="I406" s="23" t="n">
        <v>2.91</v>
      </c>
    </row>
    <row r="407">
      <c r="A407" s="20" t="n">
        <v>45198</v>
      </c>
      <c r="B407" s="13" t="n">
        <v>4.09</v>
      </c>
      <c r="C407" s="12" t="n">
        <v>131</v>
      </c>
      <c r="D407" s="13" t="n">
        <v>26.2</v>
      </c>
      <c r="E407" s="13" t="n">
        <v>45.85</v>
      </c>
      <c r="F407" s="12" t="n">
        <v>57</v>
      </c>
      <c r="G407" s="13" t="n">
        <v>19</v>
      </c>
      <c r="H407" s="21" t="n">
        <v>3.122137404580152</v>
      </c>
      <c r="I407" s="21" t="n">
        <v>2.95</v>
      </c>
    </row>
    <row r="408">
      <c r="A408" s="22" t="n">
        <v>45205</v>
      </c>
      <c r="B408" s="17" t="n">
        <v>4</v>
      </c>
      <c r="C408" s="16" t="n">
        <v>131</v>
      </c>
      <c r="D408" s="17" t="n">
        <v>26.2</v>
      </c>
      <c r="E408" s="17" t="n">
        <v>45.85</v>
      </c>
      <c r="F408" s="16" t="n">
        <v>57</v>
      </c>
      <c r="G408" s="17" t="n">
        <v>19</v>
      </c>
      <c r="H408" s="23" t="n">
        <v>3.053435114503817</v>
      </c>
      <c r="I408" s="23" t="n">
        <v>2.98</v>
      </c>
    </row>
    <row r="409">
      <c r="A409" s="20" t="n">
        <v>45212</v>
      </c>
      <c r="B409" s="13" t="n">
        <v>4</v>
      </c>
      <c r="C409" s="12" t="n">
        <v>131</v>
      </c>
      <c r="D409" s="13" t="n">
        <v>26.2</v>
      </c>
      <c r="E409" s="13" t="n">
        <v>45.85</v>
      </c>
      <c r="F409" s="12" t="n">
        <v>57</v>
      </c>
      <c r="G409" s="13" t="n">
        <v>19</v>
      </c>
      <c r="H409" s="21" t="n">
        <v>3.053435114503817</v>
      </c>
      <c r="I409" s="21" t="n">
        <v>3</v>
      </c>
    </row>
    <row r="410">
      <c r="A410" s="22" t="n">
        <v>45219</v>
      </c>
      <c r="B410" s="17" t="n">
        <v>4.08</v>
      </c>
      <c r="C410" s="16" t="n">
        <v>131</v>
      </c>
      <c r="D410" s="17" t="n">
        <v>26.2</v>
      </c>
      <c r="E410" s="17" t="n">
        <v>45.85</v>
      </c>
      <c r="F410" s="16" t="n">
        <v>57</v>
      </c>
      <c r="G410" s="17" t="n">
        <v>19</v>
      </c>
      <c r="H410" s="23" t="n">
        <v>3.114503816793893</v>
      </c>
      <c r="I410" s="23" t="n">
        <v>3.04</v>
      </c>
    </row>
    <row r="411">
      <c r="A411" s="20" t="n">
        <v>45226</v>
      </c>
      <c r="B411" s="13" t="n">
        <v>3.79</v>
      </c>
      <c r="C411" s="12" t="n">
        <v>131</v>
      </c>
      <c r="D411" s="13" t="n">
        <v>26.2</v>
      </c>
      <c r="E411" s="13" t="n">
        <v>45.85</v>
      </c>
      <c r="F411" s="12" t="n">
        <v>57</v>
      </c>
      <c r="G411" s="13" t="n">
        <v>19</v>
      </c>
      <c r="H411" s="21" t="n">
        <v>2.893129770992366</v>
      </c>
      <c r="I411" s="21" t="n">
        <v>3.05</v>
      </c>
    </row>
    <row r="412">
      <c r="A412" s="22" t="n">
        <v>45233</v>
      </c>
      <c r="B412" s="17" t="n">
        <v>3.84</v>
      </c>
      <c r="C412" s="16" t="n">
        <v>131</v>
      </c>
      <c r="D412" s="17" t="n">
        <v>26.2</v>
      </c>
      <c r="E412" s="17" t="n">
        <v>45.85</v>
      </c>
      <c r="F412" s="16" t="n">
        <v>57</v>
      </c>
      <c r="G412" s="17" t="n">
        <v>19</v>
      </c>
      <c r="H412" s="23" t="n">
        <v>2.931297709923664</v>
      </c>
      <c r="I412" s="23" t="n">
        <v>3.07</v>
      </c>
    </row>
    <row r="413">
      <c r="A413" s="20" t="n">
        <v>45240</v>
      </c>
      <c r="B413" s="13" t="n">
        <v>3.81</v>
      </c>
      <c r="C413" s="12" t="n">
        <v>131</v>
      </c>
      <c r="D413" s="13" t="n">
        <v>26.2</v>
      </c>
      <c r="E413" s="13" t="n">
        <v>45.85</v>
      </c>
      <c r="F413" s="12" t="n">
        <v>57</v>
      </c>
      <c r="G413" s="13" t="n">
        <v>19</v>
      </c>
      <c r="H413" s="21" t="n">
        <v>2.908396946564885</v>
      </c>
      <c r="I413" s="21" t="n">
        <v>3.05</v>
      </c>
    </row>
    <row r="414">
      <c r="A414" s="22" t="n">
        <v>45247</v>
      </c>
      <c r="B414" s="17" t="n">
        <v>3.71</v>
      </c>
      <c r="C414" s="16" t="n">
        <v>131</v>
      </c>
      <c r="D414" s="17" t="n">
        <v>26.2</v>
      </c>
      <c r="E414" s="17" t="n">
        <v>45.85</v>
      </c>
      <c r="F414" s="16" t="n">
        <v>57</v>
      </c>
      <c r="G414" s="17" t="n">
        <v>19</v>
      </c>
      <c r="H414" s="23" t="n">
        <v>2.83206106870229</v>
      </c>
      <c r="I414" s="23" t="n">
        <v>3.03</v>
      </c>
    </row>
    <row r="415">
      <c r="A415" s="20" t="n">
        <v>45254</v>
      </c>
      <c r="B415" s="13" t="n">
        <v>3.86</v>
      </c>
      <c r="C415" s="12" t="n">
        <v>131</v>
      </c>
      <c r="D415" s="13" t="n">
        <v>26.2</v>
      </c>
      <c r="E415" s="13" t="n">
        <v>45.85</v>
      </c>
      <c r="F415" s="12" t="n">
        <v>57</v>
      </c>
      <c r="G415" s="13" t="n">
        <v>19</v>
      </c>
      <c r="H415" s="21" t="n">
        <v>2.946564885496183</v>
      </c>
      <c r="I415" s="21" t="n">
        <v>3.02</v>
      </c>
    </row>
    <row r="416">
      <c r="A416" s="22" t="n">
        <v>45261</v>
      </c>
      <c r="B416" s="17" t="n">
        <v>3.99</v>
      </c>
      <c r="C416" s="16" t="n">
        <v>131</v>
      </c>
      <c r="D416" s="17" t="n">
        <v>26.2</v>
      </c>
      <c r="E416" s="17" t="n">
        <v>45.85</v>
      </c>
      <c r="F416" s="16" t="n">
        <v>57</v>
      </c>
      <c r="G416" s="17" t="n">
        <v>19</v>
      </c>
      <c r="H416" s="23" t="n">
        <v>3.045801526717557</v>
      </c>
      <c r="I416" s="23" t="n">
        <v>3.01</v>
      </c>
    </row>
    <row r="417">
      <c r="A417" s="20" t="n">
        <v>45268</v>
      </c>
      <c r="B417" s="13" t="n">
        <v>3.88</v>
      </c>
      <c r="C417" s="12" t="n">
        <v>131</v>
      </c>
      <c r="D417" s="13" t="n">
        <v>26.2</v>
      </c>
      <c r="E417" s="13" t="n">
        <v>45.85</v>
      </c>
      <c r="F417" s="12" t="n">
        <v>57</v>
      </c>
      <c r="G417" s="13" t="n">
        <v>19</v>
      </c>
      <c r="H417" s="21" t="n">
        <v>2.961832061068702</v>
      </c>
      <c r="I417" s="21" t="n">
        <v>2.99</v>
      </c>
    </row>
    <row r="418">
      <c r="A418" s="22" t="n">
        <v>45275</v>
      </c>
      <c r="B418" s="17" t="n">
        <v>3.91</v>
      </c>
      <c r="C418" s="16" t="n">
        <v>131</v>
      </c>
      <c r="D418" s="17" t="n">
        <v>26.2</v>
      </c>
      <c r="E418" s="17" t="n">
        <v>45.85</v>
      </c>
      <c r="F418" s="16" t="n">
        <v>57</v>
      </c>
      <c r="G418" s="17" t="n">
        <v>19</v>
      </c>
      <c r="H418" s="23" t="n">
        <v>2.984732824427481</v>
      </c>
      <c r="I418" s="23" t="n">
        <v>2.99</v>
      </c>
    </row>
    <row r="419">
      <c r="A419" s="20" t="n">
        <v>45282</v>
      </c>
      <c r="B419" s="13" t="n">
        <v>3.99</v>
      </c>
      <c r="C419" s="12" t="n">
        <v>131</v>
      </c>
      <c r="D419" s="13" t="n">
        <v>26.2</v>
      </c>
      <c r="E419" s="13" t="n">
        <v>45.85</v>
      </c>
      <c r="F419" s="12" t="n">
        <v>57</v>
      </c>
      <c r="G419" s="13" t="n">
        <v>19</v>
      </c>
      <c r="H419" s="21" t="n">
        <v>3.045801526717557</v>
      </c>
      <c r="I419" s="21" t="n">
        <v>2.98</v>
      </c>
    </row>
    <row r="420">
      <c r="A420" s="22" t="n">
        <v>45289</v>
      </c>
      <c r="B420" s="17" t="n">
        <v>4</v>
      </c>
      <c r="C420" s="16" t="n">
        <v>131</v>
      </c>
      <c r="D420" s="17" t="n">
        <v>26.2</v>
      </c>
      <c r="E420" s="17" t="n">
        <v>45.85</v>
      </c>
      <c r="F420" s="16" t="n">
        <v>57</v>
      </c>
      <c r="G420" s="17" t="n">
        <v>19</v>
      </c>
      <c r="H420" s="23" t="n">
        <v>3.053435114503817</v>
      </c>
      <c r="I420" s="23" t="n">
        <v>2.98</v>
      </c>
    </row>
    <row r="421">
      <c r="A421" s="20" t="n">
        <v>45296</v>
      </c>
      <c r="B421" s="13" t="n">
        <v>3.84</v>
      </c>
      <c r="C421" s="12" t="n">
        <v>131</v>
      </c>
      <c r="D421" s="13" t="n">
        <v>26.2</v>
      </c>
      <c r="E421" s="13" t="n">
        <v>45.85</v>
      </c>
      <c r="F421" s="12" t="n">
        <v>57</v>
      </c>
      <c r="G421" s="13" t="n">
        <v>19</v>
      </c>
      <c r="H421" s="21" t="n">
        <v>2.931297709923664</v>
      </c>
      <c r="I421" s="21" t="n">
        <v>2.97</v>
      </c>
    </row>
    <row r="422">
      <c r="A422" s="22" t="n">
        <v>45303</v>
      </c>
      <c r="B422" s="17" t="n">
        <v>3.97</v>
      </c>
      <c r="C422" s="16" t="n">
        <v>131</v>
      </c>
      <c r="D422" s="17" t="n">
        <v>26.2</v>
      </c>
      <c r="E422" s="17" t="n">
        <v>45.85</v>
      </c>
      <c r="F422" s="16" t="n">
        <v>57</v>
      </c>
      <c r="G422" s="17" t="n">
        <v>19</v>
      </c>
      <c r="H422" s="23" t="n">
        <v>3.030534351145038</v>
      </c>
      <c r="I422" s="23" t="n">
        <v>2.96</v>
      </c>
    </row>
    <row r="423">
      <c r="A423" s="20" t="n">
        <v>45310</v>
      </c>
      <c r="B423" s="13" t="n">
        <v>3.83</v>
      </c>
      <c r="C423" s="12" t="n">
        <v>131</v>
      </c>
      <c r="D423" s="13" t="n">
        <v>26.2</v>
      </c>
      <c r="E423" s="13" t="n">
        <v>45.85</v>
      </c>
      <c r="F423" s="12" t="n">
        <v>57</v>
      </c>
      <c r="G423" s="13" t="n">
        <v>19</v>
      </c>
      <c r="H423" s="21" t="n">
        <v>2.923664122137405</v>
      </c>
      <c r="I423" s="21" t="n">
        <v>2.97</v>
      </c>
    </row>
    <row r="424">
      <c r="A424" s="22" t="n">
        <v>45317</v>
      </c>
      <c r="B424" s="17" t="n">
        <v>3.72</v>
      </c>
      <c r="C424" s="16" t="n">
        <v>131</v>
      </c>
      <c r="D424" s="17" t="n">
        <v>26.2</v>
      </c>
      <c r="E424" s="17" t="n">
        <v>45.85</v>
      </c>
      <c r="F424" s="16" t="n">
        <v>57</v>
      </c>
      <c r="G424" s="17" t="n">
        <v>19</v>
      </c>
      <c r="H424" s="23" t="n">
        <v>2.839694656488549</v>
      </c>
      <c r="I424" s="23" t="n">
        <v>2.96</v>
      </c>
    </row>
    <row r="425">
      <c r="A425" s="20" t="n">
        <v>45324</v>
      </c>
      <c r="B425" s="13" t="n">
        <v>3.73</v>
      </c>
      <c r="C425" s="12" t="n">
        <v>131</v>
      </c>
      <c r="D425" s="13" t="n">
        <v>26.2</v>
      </c>
      <c r="E425" s="13" t="n">
        <v>45.85</v>
      </c>
      <c r="F425" s="12" t="n">
        <v>57</v>
      </c>
      <c r="G425" s="13" t="n">
        <v>19</v>
      </c>
      <c r="H425" s="21" t="n">
        <v>2.847328244274809</v>
      </c>
      <c r="I425" s="21" t="n">
        <v>2.95</v>
      </c>
    </row>
    <row r="426">
      <c r="A426" s="22" t="n">
        <v>45331</v>
      </c>
      <c r="B426" s="17" t="n">
        <v>3.63</v>
      </c>
      <c r="C426" s="16" t="n">
        <v>131</v>
      </c>
      <c r="D426" s="17" t="n">
        <v>26.2</v>
      </c>
      <c r="E426" s="17" t="n">
        <v>45.85</v>
      </c>
      <c r="F426" s="16" t="n">
        <v>57</v>
      </c>
      <c r="G426" s="17" t="n">
        <v>19</v>
      </c>
      <c r="H426" s="23" t="n">
        <v>2.770992366412214</v>
      </c>
      <c r="I426" s="23" t="n">
        <v>2.95</v>
      </c>
    </row>
    <row r="427">
      <c r="A427" s="20" t="n">
        <v>45338</v>
      </c>
      <c r="B427" s="13" t="n">
        <v>3.67</v>
      </c>
      <c r="C427" s="12" t="n">
        <v>124</v>
      </c>
      <c r="D427" s="13" t="n">
        <v>24.8</v>
      </c>
      <c r="E427" s="13" t="n">
        <v>43.4</v>
      </c>
      <c r="F427" s="12" t="n">
        <v>55</v>
      </c>
      <c r="G427" s="13" t="n">
        <v>18.33333333333334</v>
      </c>
      <c r="H427" s="21" t="n">
        <v>2.959677419354839</v>
      </c>
      <c r="I427" s="21" t="n">
        <v>2.95</v>
      </c>
    </row>
    <row r="428">
      <c r="A428" s="22" t="n">
        <v>45345</v>
      </c>
      <c r="B428" s="17" t="n">
        <v>3.71</v>
      </c>
      <c r="C428" s="16" t="n">
        <v>124</v>
      </c>
      <c r="D428" s="17" t="n">
        <v>24.8</v>
      </c>
      <c r="E428" s="17" t="n">
        <v>43.4</v>
      </c>
      <c r="F428" s="16" t="n">
        <v>55</v>
      </c>
      <c r="G428" s="17" t="n">
        <v>18.33333333333334</v>
      </c>
      <c r="H428" s="23" t="n">
        <v>2.991935483870968</v>
      </c>
      <c r="I428" s="23" t="n">
        <v>2.95</v>
      </c>
    </row>
    <row r="429">
      <c r="A429" s="20" t="n">
        <v>45352</v>
      </c>
      <c r="B429" s="13" t="n">
        <v>3.81</v>
      </c>
      <c r="C429" s="12" t="n">
        <v>124</v>
      </c>
      <c r="D429" s="13" t="n">
        <v>24.8</v>
      </c>
      <c r="E429" s="13" t="n">
        <v>43.4</v>
      </c>
      <c r="F429" s="12" t="n">
        <v>55</v>
      </c>
      <c r="G429" s="13" t="n">
        <v>18.33333333333334</v>
      </c>
      <c r="H429" s="21" t="n">
        <v>3.07258064516129</v>
      </c>
      <c r="I429" s="21" t="n">
        <v>2.95</v>
      </c>
    </row>
    <row r="430">
      <c r="A430" s="22" t="n">
        <v>45359</v>
      </c>
      <c r="B430" s="17" t="n">
        <v>3.89</v>
      </c>
      <c r="C430" s="16" t="n">
        <v>124</v>
      </c>
      <c r="D430" s="17" t="n">
        <v>24.8</v>
      </c>
      <c r="E430" s="17" t="n">
        <v>43.4</v>
      </c>
      <c r="F430" s="16" t="n">
        <v>55</v>
      </c>
      <c r="G430" s="17" t="n">
        <v>18.33333333333334</v>
      </c>
      <c r="H430" s="23" t="n">
        <v>3.137096774193548</v>
      </c>
      <c r="I430" s="23" t="n">
        <v>2.97</v>
      </c>
    </row>
    <row r="431">
      <c r="A431" s="20" t="n">
        <v>45366</v>
      </c>
      <c r="B431" s="13" t="n">
        <v>3.57</v>
      </c>
      <c r="C431" s="12" t="n">
        <v>124</v>
      </c>
      <c r="D431" s="13" t="n">
        <v>24.8</v>
      </c>
      <c r="E431" s="13" t="n">
        <v>43.4</v>
      </c>
      <c r="F431" s="12" t="n">
        <v>55</v>
      </c>
      <c r="G431" s="13" t="n">
        <v>18.33333333333334</v>
      </c>
      <c r="H431" s="21" t="n">
        <v>2.879032258064516</v>
      </c>
      <c r="I431" s="21" t="n">
        <v>2.95</v>
      </c>
    </row>
    <row r="432">
      <c r="A432" s="22" t="n">
        <v>45373</v>
      </c>
      <c r="B432" s="17" t="n">
        <v>3.73</v>
      </c>
      <c r="C432" s="16" t="n">
        <v>124</v>
      </c>
      <c r="D432" s="17" t="n">
        <v>24.8</v>
      </c>
      <c r="E432" s="17" t="n">
        <v>43.4</v>
      </c>
      <c r="F432" s="16" t="n">
        <v>55</v>
      </c>
      <c r="G432" s="17" t="n">
        <v>18.33333333333334</v>
      </c>
      <c r="H432" s="23" t="n">
        <v>3.008064516129032</v>
      </c>
      <c r="I432" s="23" t="n">
        <v>2.95</v>
      </c>
    </row>
    <row r="433">
      <c r="A433" s="20" t="n">
        <v>45380</v>
      </c>
      <c r="B433" s="13" t="n">
        <v>3.57</v>
      </c>
      <c r="C433" s="12" t="n">
        <v>124</v>
      </c>
      <c r="D433" s="13" t="n">
        <v>24.8</v>
      </c>
      <c r="E433" s="13" t="n">
        <v>43.4</v>
      </c>
      <c r="F433" s="12" t="n">
        <v>55</v>
      </c>
      <c r="G433" s="13" t="n">
        <v>18.33333333333334</v>
      </c>
      <c r="H433" s="21" t="n">
        <v>2.879032258064516</v>
      </c>
      <c r="I433" s="21" t="n">
        <v>2.94</v>
      </c>
    </row>
    <row r="434">
      <c r="A434" s="22" t="n">
        <v>45387</v>
      </c>
      <c r="B434" s="17" t="n">
        <v>3.71</v>
      </c>
      <c r="C434" s="16" t="n">
        <v>124</v>
      </c>
      <c r="D434" s="17" t="n">
        <v>24.8</v>
      </c>
      <c r="E434" s="17" t="n">
        <v>43.4</v>
      </c>
      <c r="F434" s="16" t="n">
        <v>55</v>
      </c>
      <c r="G434" s="17" t="n">
        <v>18.33333333333334</v>
      </c>
      <c r="H434" s="23" t="n">
        <v>2.991935483870968</v>
      </c>
      <c r="I434" s="23" t="n">
        <v>2.94</v>
      </c>
    </row>
    <row r="435">
      <c r="A435" s="20" t="n">
        <v>45394</v>
      </c>
      <c r="B435" s="13" t="n">
        <v>3.63</v>
      </c>
      <c r="C435" s="12" t="n">
        <v>124</v>
      </c>
      <c r="D435" s="13" t="n">
        <v>24.8</v>
      </c>
      <c r="E435" s="13" t="n">
        <v>43.4</v>
      </c>
      <c r="F435" s="12" t="n">
        <v>55</v>
      </c>
      <c r="G435" s="13" t="n">
        <v>18.33333333333334</v>
      </c>
      <c r="H435" s="21" t="n">
        <v>2.92741935483871</v>
      </c>
      <c r="I435" s="21" t="n">
        <v>2.94</v>
      </c>
    </row>
    <row r="436">
      <c r="A436" s="22" t="n">
        <v>45401</v>
      </c>
      <c r="B436" s="17" t="n">
        <v>3.45</v>
      </c>
      <c r="C436" s="16" t="n">
        <v>124</v>
      </c>
      <c r="D436" s="17" t="n">
        <v>24.8</v>
      </c>
      <c r="E436" s="17" t="n">
        <v>43.4</v>
      </c>
      <c r="F436" s="16" t="n">
        <v>55</v>
      </c>
      <c r="G436" s="17" t="n">
        <v>18.33333333333334</v>
      </c>
      <c r="H436" s="23" t="n">
        <v>2.782258064516129</v>
      </c>
      <c r="I436" s="23" t="n">
        <v>2.94</v>
      </c>
    </row>
    <row r="437">
      <c r="A437" s="20" t="n">
        <v>45408</v>
      </c>
      <c r="B437" s="13" t="n">
        <v>3.71</v>
      </c>
      <c r="C437" s="12" t="n">
        <v>124</v>
      </c>
      <c r="D437" s="13" t="n">
        <v>24.8</v>
      </c>
      <c r="E437" s="13" t="n">
        <v>43.4</v>
      </c>
      <c r="F437" s="12" t="n">
        <v>55</v>
      </c>
      <c r="G437" s="13" t="n">
        <v>18.33333333333334</v>
      </c>
      <c r="H437" s="21" t="n">
        <v>2.991935483870968</v>
      </c>
      <c r="I437" s="21" t="n">
        <v>2.95</v>
      </c>
    </row>
    <row r="438">
      <c r="A438" s="22" t="n">
        <v>45415</v>
      </c>
      <c r="B438" s="17" t="n">
        <v>3.54</v>
      </c>
      <c r="C438" s="16" t="n">
        <v>124</v>
      </c>
      <c r="D438" s="17" t="n">
        <v>24.8</v>
      </c>
      <c r="E438" s="17" t="n">
        <v>43.4</v>
      </c>
      <c r="F438" s="16" t="n">
        <v>55</v>
      </c>
      <c r="G438" s="17" t="n">
        <v>18.33333333333334</v>
      </c>
      <c r="H438" s="23" t="n">
        <v>2.854838709677419</v>
      </c>
      <c r="I438" s="23" t="n">
        <v>2.96</v>
      </c>
    </row>
    <row r="439">
      <c r="A439" s="20" t="n">
        <v>45422</v>
      </c>
      <c r="B439" s="13" t="n">
        <v>3.53</v>
      </c>
      <c r="C439" s="12" t="n">
        <v>124</v>
      </c>
      <c r="D439" s="13" t="n">
        <v>24.8</v>
      </c>
      <c r="E439" s="13" t="n">
        <v>43.4</v>
      </c>
      <c r="F439" s="12" t="n">
        <v>55</v>
      </c>
      <c r="G439" s="13" t="n">
        <v>18.33333333333334</v>
      </c>
      <c r="H439" s="21" t="n">
        <v>2.846774193548387</v>
      </c>
      <c r="I439" s="21" t="n">
        <v>2.95</v>
      </c>
    </row>
    <row r="440">
      <c r="A440" s="22" t="n">
        <v>45429</v>
      </c>
      <c r="B440" s="17" t="n">
        <v>3.46</v>
      </c>
      <c r="C440" s="16" t="n">
        <v>124</v>
      </c>
      <c r="D440" s="17" t="n">
        <v>24.8</v>
      </c>
      <c r="E440" s="17" t="n">
        <v>43.4</v>
      </c>
      <c r="F440" s="16" t="n">
        <v>55</v>
      </c>
      <c r="G440" s="17" t="n">
        <v>18.33333333333334</v>
      </c>
      <c r="H440" s="23" t="n">
        <v>2.790322580645161</v>
      </c>
      <c r="I440" s="23" t="n">
        <v>2.93</v>
      </c>
    </row>
    <row r="441">
      <c r="A441" s="20" t="n">
        <v>45436</v>
      </c>
      <c r="B441" s="13" t="n">
        <v>3.49</v>
      </c>
      <c r="C441" s="12" t="n">
        <v>124</v>
      </c>
      <c r="D441" s="13" t="n">
        <v>24.8</v>
      </c>
      <c r="E441" s="13" t="n">
        <v>43.4</v>
      </c>
      <c r="F441" s="12" t="n">
        <v>55</v>
      </c>
      <c r="G441" s="13" t="n">
        <v>18.33333333333334</v>
      </c>
      <c r="H441" s="21" t="n">
        <v>2.814516129032258</v>
      </c>
      <c r="I441" s="21" t="n">
        <v>2.91</v>
      </c>
    </row>
    <row r="442">
      <c r="A442" s="22" t="n">
        <v>45443</v>
      </c>
      <c r="B442" s="17" t="n">
        <v>3.58</v>
      </c>
      <c r="C442" s="16" t="n">
        <v>124</v>
      </c>
      <c r="D442" s="17" t="n">
        <v>24.8</v>
      </c>
      <c r="E442" s="17" t="n">
        <v>43.4</v>
      </c>
      <c r="F442" s="16" t="n">
        <v>55</v>
      </c>
      <c r="G442" s="17" t="n">
        <v>18.33333333333334</v>
      </c>
      <c r="H442" s="23" t="n">
        <v>2.887096774193548</v>
      </c>
      <c r="I442" s="23" t="n">
        <v>2.89</v>
      </c>
    </row>
    <row r="443">
      <c r="A443" s="20" t="n">
        <v>45450</v>
      </c>
      <c r="B443" s="13" t="n">
        <v>3.51</v>
      </c>
      <c r="C443" s="12" t="n">
        <v>124</v>
      </c>
      <c r="D443" s="13" t="n">
        <v>24.8</v>
      </c>
      <c r="E443" s="13" t="n">
        <v>43.4</v>
      </c>
      <c r="F443" s="12" t="n">
        <v>55</v>
      </c>
      <c r="G443" s="13" t="n">
        <v>18.33333333333334</v>
      </c>
      <c r="H443" s="21" t="n">
        <v>2.830645161290323</v>
      </c>
      <c r="I443" s="21" t="n">
        <v>2.88</v>
      </c>
    </row>
    <row r="444">
      <c r="A444" s="22" t="n">
        <v>45457</v>
      </c>
      <c r="B444" s="17" t="n">
        <v>3.54</v>
      </c>
      <c r="C444" s="16" t="n">
        <v>124</v>
      </c>
      <c r="D444" s="17" t="n">
        <v>24.8</v>
      </c>
      <c r="E444" s="17" t="n">
        <v>43.4</v>
      </c>
      <c r="F444" s="16" t="n">
        <v>55</v>
      </c>
      <c r="G444" s="17" t="n">
        <v>18.33333333333334</v>
      </c>
      <c r="H444" s="23" t="n">
        <v>2.854838709677419</v>
      </c>
      <c r="I444" s="23" t="n">
        <v>2.87</v>
      </c>
    </row>
    <row r="445">
      <c r="A445" s="20" t="n">
        <v>45464</v>
      </c>
      <c r="B445" s="13" t="n">
        <v>3.53</v>
      </c>
      <c r="C445" s="12" t="n">
        <v>124</v>
      </c>
      <c r="D445" s="13" t="n">
        <v>24.8</v>
      </c>
      <c r="E445" s="13" t="n">
        <v>43.4</v>
      </c>
      <c r="F445" s="12" t="n">
        <v>55</v>
      </c>
      <c r="G445" s="13" t="n">
        <v>18.33333333333334</v>
      </c>
      <c r="H445" s="21" t="n">
        <v>2.846774193548387</v>
      </c>
      <c r="I445" s="21" t="n">
        <v>2.87</v>
      </c>
    </row>
    <row r="446">
      <c r="A446" s="22" t="n">
        <v>45471</v>
      </c>
      <c r="B446" s="17" t="n">
        <v>3.61</v>
      </c>
      <c r="C446" s="16" t="n">
        <v>124</v>
      </c>
      <c r="D446" s="17" t="n">
        <v>24.8</v>
      </c>
      <c r="E446" s="17" t="n">
        <v>43.4</v>
      </c>
      <c r="F446" s="16" t="n">
        <v>55</v>
      </c>
      <c r="G446" s="17" t="n">
        <v>18.33333333333334</v>
      </c>
      <c r="H446" s="23" t="n">
        <v>2.911290322580645</v>
      </c>
      <c r="I446" s="23" t="n">
        <v>2.86</v>
      </c>
    </row>
    <row r="447">
      <c r="A447" s="20" t="n">
        <v>45478</v>
      </c>
      <c r="B447" s="13" t="n">
        <v>3.43</v>
      </c>
      <c r="C447" s="12" t="n">
        <v>124</v>
      </c>
      <c r="D447" s="13" t="n">
        <v>24.8</v>
      </c>
      <c r="E447" s="13" t="n">
        <v>43.4</v>
      </c>
      <c r="F447" s="12" t="n">
        <v>55</v>
      </c>
      <c r="G447" s="13" t="n">
        <v>18.33333333333334</v>
      </c>
      <c r="H447" s="21" t="n">
        <v>2.766129032258065</v>
      </c>
      <c r="I447" s="21" t="n">
        <v>2.85</v>
      </c>
    </row>
    <row r="448">
      <c r="A448" s="22" t="n">
        <v>45485</v>
      </c>
      <c r="B448" s="17" t="n">
        <v>3.3</v>
      </c>
      <c r="C448" s="16" t="n">
        <v>124</v>
      </c>
      <c r="D448" s="17" t="n">
        <v>24.8</v>
      </c>
      <c r="E448" s="17" t="n">
        <v>43.4</v>
      </c>
      <c r="F448" s="16" t="n">
        <v>55</v>
      </c>
      <c r="G448" s="17" t="n">
        <v>18.33333333333334</v>
      </c>
      <c r="H448" s="23" t="n">
        <v>2.661290322580645</v>
      </c>
      <c r="I448" s="23" t="n">
        <v>2.84</v>
      </c>
    </row>
    <row r="449">
      <c r="A449" s="20" t="n">
        <v>45492</v>
      </c>
      <c r="B449" s="13" t="n">
        <v>3.54</v>
      </c>
      <c r="C449" s="12" t="n">
        <v>124</v>
      </c>
      <c r="D449" s="13" t="n">
        <v>24.8</v>
      </c>
      <c r="E449" s="13" t="n">
        <v>43.4</v>
      </c>
      <c r="F449" s="12" t="n">
        <v>55</v>
      </c>
      <c r="G449" s="13" t="n">
        <v>18.33333333333334</v>
      </c>
      <c r="H449" s="21" t="n">
        <v>2.854838709677419</v>
      </c>
      <c r="I449" s="21" t="n">
        <v>2.83</v>
      </c>
    </row>
    <row r="450">
      <c r="A450" s="22" t="n">
        <v>45499</v>
      </c>
      <c r="B450" s="17" t="n">
        <v>3.38</v>
      </c>
      <c r="C450" s="16" t="n">
        <v>124</v>
      </c>
      <c r="D450" s="17" t="n">
        <v>24.8</v>
      </c>
      <c r="E450" s="17" t="n">
        <v>43.4</v>
      </c>
      <c r="F450" s="16" t="n">
        <v>55</v>
      </c>
      <c r="G450" s="17" t="n">
        <v>18.33333333333334</v>
      </c>
      <c r="H450" s="23" t="n">
        <v>2.725806451612903</v>
      </c>
      <c r="I450" s="23" t="n">
        <v>2.82</v>
      </c>
    </row>
    <row r="451">
      <c r="A451" s="20" t="n">
        <v>45506</v>
      </c>
      <c r="B451" s="13" t="n">
        <v>3.51</v>
      </c>
      <c r="C451" s="12" t="n">
        <v>124</v>
      </c>
      <c r="D451" s="13" t="n">
        <v>24.8</v>
      </c>
      <c r="E451" s="13" t="n">
        <v>43.4</v>
      </c>
      <c r="F451" s="12" t="n">
        <v>55</v>
      </c>
      <c r="G451" s="13" t="n">
        <v>18.33333333333334</v>
      </c>
      <c r="H451" s="21" t="n">
        <v>2.830645161290323</v>
      </c>
      <c r="I451" s="21" t="n">
        <v>2.81</v>
      </c>
    </row>
    <row r="452">
      <c r="A452" s="22" t="n">
        <v>45513</v>
      </c>
      <c r="B452" s="17" t="n">
        <v>3.42</v>
      </c>
      <c r="C452" s="16" t="n">
        <v>124</v>
      </c>
      <c r="D452" s="17" t="n">
        <v>24.8</v>
      </c>
      <c r="E452" s="17" t="n">
        <v>43.4</v>
      </c>
      <c r="F452" s="16" t="n">
        <v>55</v>
      </c>
      <c r="G452" s="17" t="n">
        <v>18.33333333333334</v>
      </c>
      <c r="H452" s="23" t="n">
        <v>2.758064516129032</v>
      </c>
      <c r="I452" s="23" t="n">
        <v>2.81</v>
      </c>
    </row>
    <row r="453">
      <c r="A453" s="20" t="n">
        <v>45520</v>
      </c>
      <c r="B453" s="13" t="n">
        <v>3.36</v>
      </c>
      <c r="C453" s="12" t="n">
        <v>124.88</v>
      </c>
      <c r="D453" s="13" t="n">
        <v>24.976</v>
      </c>
      <c r="E453" s="13" t="n">
        <v>43.708</v>
      </c>
      <c r="F453" s="12" t="n">
        <v>56</v>
      </c>
      <c r="G453" s="13" t="n">
        <v>18.66666666666667</v>
      </c>
      <c r="H453" s="21" t="n">
        <v>2.690582959641256</v>
      </c>
      <c r="I453" s="21" t="n">
        <v>2.8</v>
      </c>
    </row>
    <row r="454">
      <c r="A454" s="22" t="n">
        <v>45527</v>
      </c>
      <c r="B454" s="17" t="n">
        <v>3.39</v>
      </c>
      <c r="C454" s="16" t="n">
        <v>124.88</v>
      </c>
      <c r="D454" s="17" t="n">
        <v>24.976</v>
      </c>
      <c r="E454" s="17" t="n">
        <v>43.708</v>
      </c>
      <c r="F454" s="16" t="n">
        <v>56</v>
      </c>
      <c r="G454" s="17" t="n">
        <v>18.66666666666667</v>
      </c>
      <c r="H454" s="23" t="n">
        <v>2.71460602178091</v>
      </c>
      <c r="I454" s="23" t="n">
        <v>2.79</v>
      </c>
    </row>
    <row r="455">
      <c r="A455" s="20" t="n">
        <v>45534</v>
      </c>
      <c r="B455" s="13" t="n">
        <v>3.53</v>
      </c>
      <c r="C455" s="12" t="n">
        <v>124.88</v>
      </c>
      <c r="D455" s="13" t="n">
        <v>24.976</v>
      </c>
      <c r="E455" s="13" t="n">
        <v>43.708</v>
      </c>
      <c r="F455" s="12" t="n">
        <v>56</v>
      </c>
      <c r="G455" s="13" t="n">
        <v>18.66666666666667</v>
      </c>
      <c r="H455" s="21" t="n">
        <v>2.826713645099296</v>
      </c>
      <c r="I455" s="21" t="n">
        <v>2.79</v>
      </c>
    </row>
    <row r="456">
      <c r="A456" s="22" t="n">
        <v>45541</v>
      </c>
      <c r="B456" s="17" t="n">
        <v>3.53</v>
      </c>
      <c r="C456" s="16" t="n">
        <v>124.88</v>
      </c>
      <c r="D456" s="17" t="n">
        <v>24.976</v>
      </c>
      <c r="E456" s="17" t="n">
        <v>43.708</v>
      </c>
      <c r="F456" s="16" t="n">
        <v>56</v>
      </c>
      <c r="G456" s="17" t="n">
        <v>18.66666666666667</v>
      </c>
      <c r="H456" s="23" t="n">
        <v>2.826713645099296</v>
      </c>
      <c r="I456" s="23" t="n">
        <v>2.78</v>
      </c>
    </row>
    <row r="457">
      <c r="A457" s="20" t="n">
        <v>45548</v>
      </c>
      <c r="B457" s="13" t="n">
        <v>3.31</v>
      </c>
      <c r="C457" s="12" t="n">
        <v>124.88</v>
      </c>
      <c r="D457" s="13" t="n">
        <v>24.976</v>
      </c>
      <c r="E457" s="13" t="n">
        <v>43.708</v>
      </c>
      <c r="F457" s="12" t="n">
        <v>56</v>
      </c>
      <c r="G457" s="13" t="n">
        <v>18.66666666666667</v>
      </c>
      <c r="H457" s="21" t="n">
        <v>2.650544522741832</v>
      </c>
      <c r="I457" s="21" t="n">
        <v>2.77</v>
      </c>
    </row>
    <row r="458">
      <c r="A458" s="22" t="n">
        <v>45555</v>
      </c>
      <c r="B458" s="17" t="n">
        <v>3.31</v>
      </c>
      <c r="C458" s="16" t="n">
        <v>124.88</v>
      </c>
      <c r="D458" s="17" t="n">
        <v>24.976</v>
      </c>
      <c r="E458" s="17" t="n">
        <v>43.708</v>
      </c>
      <c r="F458" s="16" t="n">
        <v>56</v>
      </c>
      <c r="G458" s="17" t="n">
        <v>18.66666666666667</v>
      </c>
      <c r="H458" s="23" t="n">
        <v>2.650544522741832</v>
      </c>
      <c r="I458" s="23" t="n">
        <v>2.75</v>
      </c>
    </row>
    <row r="459">
      <c r="A459" s="20" t="n">
        <v>45562</v>
      </c>
      <c r="B459" s="13" t="n">
        <v>3.38</v>
      </c>
      <c r="C459" s="12" t="n">
        <v>124.88</v>
      </c>
      <c r="D459" s="13" t="n">
        <v>24.976</v>
      </c>
      <c r="E459" s="13" t="n">
        <v>43.708</v>
      </c>
      <c r="F459" s="12" t="n">
        <v>56</v>
      </c>
      <c r="G459" s="13" t="n">
        <v>18.66666666666667</v>
      </c>
      <c r="H459" s="21" t="n">
        <v>2.706598334401025</v>
      </c>
      <c r="I459" s="21" t="n">
        <v>2.74</v>
      </c>
    </row>
    <row r="460">
      <c r="A460" s="22" t="n">
        <v>45569</v>
      </c>
      <c r="B460" s="17" t="n">
        <v>3.17</v>
      </c>
      <c r="C460" s="16" t="n">
        <v>124.88</v>
      </c>
      <c r="D460" s="17" t="n">
        <v>24.976</v>
      </c>
      <c r="E460" s="17" t="n">
        <v>43.708</v>
      </c>
      <c r="F460" s="16" t="n">
        <v>56</v>
      </c>
      <c r="G460" s="17" t="n">
        <v>18.66666666666667</v>
      </c>
      <c r="H460" s="23" t="n">
        <v>2.538436899423447</v>
      </c>
      <c r="I460" s="23" t="n">
        <v>2.73</v>
      </c>
    </row>
    <row r="461">
      <c r="A461" s="20" t="n">
        <v>45576</v>
      </c>
      <c r="B461" s="13" t="n">
        <v>3.28</v>
      </c>
      <c r="C461" s="12" t="n">
        <v>124.88</v>
      </c>
      <c r="D461" s="13" t="n">
        <v>24.976</v>
      </c>
      <c r="E461" s="13" t="n">
        <v>43.708</v>
      </c>
      <c r="F461" s="12" t="n">
        <v>56</v>
      </c>
      <c r="G461" s="13" t="n">
        <v>18.66666666666667</v>
      </c>
      <c r="H461" s="21" t="n">
        <v>2.626521460602178</v>
      </c>
      <c r="I461" s="21" t="n">
        <v>2.71</v>
      </c>
    </row>
    <row r="462">
      <c r="A462" s="22" t="n">
        <v>45583</v>
      </c>
      <c r="B462" s="17" t="n">
        <v>3.22</v>
      </c>
      <c r="C462" s="16" t="n">
        <v>124.88</v>
      </c>
      <c r="D462" s="17" t="n">
        <v>24.976</v>
      </c>
      <c r="E462" s="17" t="n">
        <v>43.708</v>
      </c>
      <c r="F462" s="16" t="n">
        <v>56</v>
      </c>
      <c r="G462" s="17" t="n">
        <v>18.66666666666667</v>
      </c>
      <c r="H462" s="23" t="n">
        <v>2.578475336322871</v>
      </c>
      <c r="I462" s="23" t="n">
        <v>2.7</v>
      </c>
    </row>
    <row r="463">
      <c r="A463" s="20" t="n">
        <v>45590</v>
      </c>
      <c r="B463" s="13" t="n">
        <v>3.24</v>
      </c>
      <c r="C463" s="12" t="n">
        <v>124.88</v>
      </c>
      <c r="D463" s="13" t="n">
        <v>24.976</v>
      </c>
      <c r="E463" s="13" t="n">
        <v>43.708</v>
      </c>
      <c r="F463" s="12" t="n">
        <v>56</v>
      </c>
      <c r="G463" s="13" t="n">
        <v>18.66666666666667</v>
      </c>
      <c r="H463" s="21" t="n">
        <v>2.59449071108264</v>
      </c>
      <c r="I463" s="21" t="n">
        <v>2.68</v>
      </c>
    </row>
    <row r="464">
      <c r="A464" s="22" t="n">
        <v>45597</v>
      </c>
      <c r="B464" s="17" t="n">
        <v>3.11</v>
      </c>
      <c r="C464" s="16" t="n">
        <v>124.88</v>
      </c>
      <c r="D464" s="17" t="n">
        <v>24.976</v>
      </c>
      <c r="E464" s="17" t="n">
        <v>43.708</v>
      </c>
      <c r="F464" s="16" t="n">
        <v>56</v>
      </c>
      <c r="G464" s="17" t="n">
        <v>18.66666666666667</v>
      </c>
      <c r="H464" s="23" t="n">
        <v>2.490390775144138</v>
      </c>
      <c r="I464" s="23" t="n">
        <v>2.66</v>
      </c>
    </row>
    <row r="465">
      <c r="A465" s="20" t="n">
        <v>45604</v>
      </c>
      <c r="B465" s="13" t="n">
        <v>3.02</v>
      </c>
      <c r="C465" s="12" t="n">
        <v>124.88</v>
      </c>
      <c r="D465" s="13" t="n">
        <v>24.976</v>
      </c>
      <c r="E465" s="13" t="n">
        <v>43.708</v>
      </c>
      <c r="F465" s="12" t="n">
        <v>56</v>
      </c>
      <c r="G465" s="13" t="n">
        <v>18.66666666666667</v>
      </c>
      <c r="H465" s="21" t="n">
        <v>2.418321588725176</v>
      </c>
      <c r="I465" s="21" t="n">
        <v>2.64</v>
      </c>
    </row>
    <row r="466">
      <c r="A466" s="22" t="n">
        <v>45611</v>
      </c>
      <c r="B466" s="17" t="n">
        <v>2.95</v>
      </c>
      <c r="C466" s="16" t="n">
        <v>124.88</v>
      </c>
      <c r="D466" s="17" t="n">
        <v>24.976</v>
      </c>
      <c r="E466" s="17" t="n">
        <v>43.708</v>
      </c>
      <c r="F466" s="16" t="n">
        <v>56</v>
      </c>
      <c r="G466" s="17" t="n">
        <v>18.66666666666667</v>
      </c>
      <c r="H466" s="23" t="n">
        <v>2.362267777065984</v>
      </c>
      <c r="I466" s="23" t="n">
        <v>2.61</v>
      </c>
    </row>
    <row r="467">
      <c r="A467" s="20" t="n">
        <v>45618</v>
      </c>
      <c r="B467" s="13" t="n">
        <v>3.03</v>
      </c>
      <c r="C467" s="12" t="n">
        <v>124.88</v>
      </c>
      <c r="D467" s="13" t="n">
        <v>24.976</v>
      </c>
      <c r="E467" s="13" t="n">
        <v>43.708</v>
      </c>
      <c r="F467" s="12" t="n">
        <v>56</v>
      </c>
      <c r="G467" s="13" t="n">
        <v>18.66666666666667</v>
      </c>
      <c r="H467" s="21" t="n">
        <v>2.426329276105061</v>
      </c>
      <c r="I467" s="21" t="n">
        <v>2.57</v>
      </c>
    </row>
    <row r="468">
      <c r="A468" s="22" t="n">
        <v>45625</v>
      </c>
      <c r="B468" s="17" t="n">
        <v>3.08</v>
      </c>
      <c r="C468" s="16" t="n">
        <v>124.88</v>
      </c>
      <c r="D468" s="17" t="n">
        <v>24.976</v>
      </c>
      <c r="E468" s="17" t="n">
        <v>43.708</v>
      </c>
      <c r="F468" s="16" t="n">
        <v>56</v>
      </c>
      <c r="G468" s="17" t="n">
        <v>18.66666666666667</v>
      </c>
      <c r="H468" s="23" t="n">
        <v>2.466367713004484</v>
      </c>
      <c r="I468" s="23" t="n">
        <v>2.54</v>
      </c>
    </row>
    <row r="469">
      <c r="A469" s="20" t="n">
        <v>45632</v>
      </c>
      <c r="B469" s="13" t="n">
        <v>3.08</v>
      </c>
      <c r="C469" s="12" t="n">
        <v>124.88</v>
      </c>
      <c r="D469" s="13" t="n">
        <v>24.976</v>
      </c>
      <c r="E469" s="13" t="n">
        <v>43.708</v>
      </c>
      <c r="F469" s="12" t="n">
        <v>56</v>
      </c>
      <c r="G469" s="13" t="n">
        <v>18.66666666666667</v>
      </c>
      <c r="H469" s="21" t="n">
        <v>2.466367713004484</v>
      </c>
      <c r="I469" s="21" t="n">
        <v>2.53</v>
      </c>
    </row>
    <row r="470">
      <c r="A470" s="22" t="n">
        <v>45639</v>
      </c>
      <c r="B470" s="17" t="n">
        <v>3.29</v>
      </c>
      <c r="C470" s="16" t="n">
        <v>124.88</v>
      </c>
      <c r="D470" s="17" t="n">
        <v>24.976</v>
      </c>
      <c r="E470" s="17" t="n">
        <v>43.708</v>
      </c>
      <c r="F470" s="16" t="n">
        <v>56</v>
      </c>
      <c r="G470" s="17" t="n">
        <v>18.66666666666667</v>
      </c>
      <c r="H470" s="23" t="n">
        <v>2.634529147982063</v>
      </c>
      <c r="I470" s="23" t="n">
        <v>2.53</v>
      </c>
    </row>
    <row r="471">
      <c r="A471" s="20" t="n">
        <v>45646</v>
      </c>
      <c r="B471" s="13" t="n">
        <v>3.19</v>
      </c>
      <c r="C471" s="12" t="n">
        <v>124.88</v>
      </c>
      <c r="D471" s="13" t="n">
        <v>24.976</v>
      </c>
      <c r="E471" s="13" t="n">
        <v>43.708</v>
      </c>
      <c r="F471" s="12" t="n">
        <v>56</v>
      </c>
      <c r="G471" s="13" t="n">
        <v>18.66666666666667</v>
      </c>
      <c r="H471" s="21" t="n">
        <v>2.554452274183216</v>
      </c>
      <c r="I471" s="21" t="n">
        <v>2.51</v>
      </c>
    </row>
    <row r="472">
      <c r="A472" s="22" t="n">
        <v>45653</v>
      </c>
      <c r="B472" s="17" t="n">
        <v>2.97</v>
      </c>
      <c r="C472" s="16" t="n">
        <v>124.88</v>
      </c>
      <c r="D472" s="17" t="n">
        <v>24.976</v>
      </c>
      <c r="E472" s="17" t="n">
        <v>43.708</v>
      </c>
      <c r="F472" s="16" t="n">
        <v>56</v>
      </c>
      <c r="G472" s="17" t="n">
        <v>18.66666666666667</v>
      </c>
      <c r="H472" s="23" t="n">
        <v>2.378283151825753</v>
      </c>
      <c r="I472" s="23" t="n">
        <v>2.5</v>
      </c>
    </row>
    <row r="473">
      <c r="A473" s="20" t="n">
        <v>45660</v>
      </c>
      <c r="B473" s="13" t="n">
        <v>3.08</v>
      </c>
      <c r="C473" s="12" t="n">
        <v>124.88</v>
      </c>
      <c r="D473" s="13" t="n">
        <v>24.976</v>
      </c>
      <c r="E473" s="13" t="n">
        <v>43.708</v>
      </c>
      <c r="F473" s="12" t="n">
        <v>56</v>
      </c>
      <c r="G473" s="13" t="n">
        <v>18.66666666666667</v>
      </c>
      <c r="H473" s="21" t="n">
        <v>2.466367713004484</v>
      </c>
      <c r="I473" s="21" t="n">
        <v>2.49</v>
      </c>
    </row>
    <row r="474">
      <c r="A474" s="22" t="n">
        <v>45667</v>
      </c>
      <c r="B474" s="17" t="n">
        <v>2.99</v>
      </c>
      <c r="C474" s="16" t="n">
        <v>124.88</v>
      </c>
      <c r="D474" s="17" t="n">
        <v>24.976</v>
      </c>
      <c r="E474" s="17" t="n">
        <v>43.708</v>
      </c>
      <c r="F474" s="16" t="n">
        <v>56</v>
      </c>
      <c r="G474" s="17" t="n">
        <v>18.66666666666667</v>
      </c>
      <c r="H474" s="23" t="n">
        <v>2.394298526585522</v>
      </c>
      <c r="I474" s="23" t="n">
        <v>2.47</v>
      </c>
    </row>
    <row r="475">
      <c r="A475" s="20" t="n">
        <v>45674</v>
      </c>
      <c r="B475" s="13" t="n">
        <v>2.98</v>
      </c>
      <c r="C475" s="12" t="n">
        <v>124.88</v>
      </c>
      <c r="D475" s="13" t="n">
        <v>24.976</v>
      </c>
      <c r="E475" s="13" t="n">
        <v>43.708</v>
      </c>
      <c r="F475" s="12" t="n">
        <v>56</v>
      </c>
      <c r="G475" s="13" t="n">
        <v>18.66666666666667</v>
      </c>
      <c r="H475" s="21" t="n">
        <v>2.386290839205638</v>
      </c>
      <c r="I475" s="21" t="n">
        <v>2.45</v>
      </c>
    </row>
    <row r="476">
      <c r="A476" s="22" t="n">
        <v>45681</v>
      </c>
      <c r="B476" s="17" t="n">
        <v>3.01</v>
      </c>
      <c r="C476" s="16" t="n">
        <v>124.88</v>
      </c>
      <c r="D476" s="17" t="n">
        <v>24.976</v>
      </c>
      <c r="E476" s="17" t="n">
        <v>43.708</v>
      </c>
      <c r="F476" s="16" t="n">
        <v>56</v>
      </c>
      <c r="G476" s="17" t="n">
        <v>18.66666666666667</v>
      </c>
      <c r="H476" s="23" t="n">
        <v>2.410313901345292</v>
      </c>
      <c r="I476" s="23" t="n">
        <v>2.45</v>
      </c>
    </row>
    <row r="477">
      <c r="A477" s="20" t="n">
        <v>45688</v>
      </c>
      <c r="B477" s="13" t="n">
        <v>3.04</v>
      </c>
      <c r="C477" s="12" t="n">
        <v>124.88</v>
      </c>
      <c r="D477" s="13" t="n">
        <v>24.976</v>
      </c>
      <c r="E477" s="13" t="n">
        <v>43.708</v>
      </c>
      <c r="F477" s="12" t="n">
        <v>56</v>
      </c>
      <c r="G477" s="13" t="n">
        <v>18.66666666666667</v>
      </c>
      <c r="H477" s="21" t="n">
        <v>2.434336963484946</v>
      </c>
      <c r="I477" s="21" t="n">
        <v>2.45</v>
      </c>
    </row>
    <row r="478">
      <c r="A478" s="22" t="n">
        <v>45695</v>
      </c>
      <c r="B478" s="17" t="n">
        <v>2.93</v>
      </c>
      <c r="C478" s="16" t="n">
        <v>124.88</v>
      </c>
      <c r="D478" s="17" t="n">
        <v>24.976</v>
      </c>
      <c r="E478" s="17" t="n">
        <v>43.708</v>
      </c>
      <c r="F478" s="16" t="n">
        <v>56</v>
      </c>
      <c r="G478" s="17" t="n">
        <v>18.66666666666667</v>
      </c>
      <c r="H478" s="23" t="n">
        <v>2.346252402306214</v>
      </c>
      <c r="I478" s="23" t="n">
        <v>2.45</v>
      </c>
    </row>
    <row r="479">
      <c r="A479" s="20" t="n">
        <v>45702</v>
      </c>
      <c r="B479" s="13" t="n">
        <v>3.05</v>
      </c>
      <c r="C479" s="12" t="n">
        <v>124.88</v>
      </c>
      <c r="D479" s="13" t="n">
        <v>24.976</v>
      </c>
      <c r="E479" s="13" t="n">
        <v>43.708</v>
      </c>
      <c r="F479" s="12" t="n">
        <v>56</v>
      </c>
      <c r="G479" s="13" t="n">
        <v>18.66666666666667</v>
      </c>
      <c r="H479" s="21" t="n">
        <v>2.44234465086483</v>
      </c>
      <c r="I479" s="21" t="n">
        <v>2.45</v>
      </c>
    </row>
    <row r="480">
      <c r="A480" s="22" t="n">
        <v>45709</v>
      </c>
      <c r="B480" s="17" t="n">
        <v>2.81</v>
      </c>
      <c r="C480" s="16" t="n">
        <v>120</v>
      </c>
      <c r="D480" s="17" t="n">
        <v>24</v>
      </c>
      <c r="E480" s="17" t="n">
        <v>42</v>
      </c>
      <c r="F480" s="16" t="n">
        <v>54</v>
      </c>
      <c r="G480" s="17" t="n">
        <v>18</v>
      </c>
      <c r="H480" s="23" t="n">
        <v>2.341666666666667</v>
      </c>
      <c r="I480" s="23" t="n">
        <v>2.44</v>
      </c>
    </row>
    <row r="481">
      <c r="A481" s="20" t="n">
        <v>45716</v>
      </c>
      <c r="B481" s="13" t="n">
        <v>2.91</v>
      </c>
      <c r="C481" s="12" t="n">
        <v>120</v>
      </c>
      <c r="D481" s="13" t="n">
        <v>24</v>
      </c>
      <c r="E481" s="13" t="n">
        <v>42</v>
      </c>
      <c r="F481" s="12" t="n">
        <v>54</v>
      </c>
      <c r="G481" s="13" t="n">
        <v>18</v>
      </c>
      <c r="H481" s="21" t="n">
        <v>2.425</v>
      </c>
      <c r="I481" s="21" t="n">
        <v>2.43</v>
      </c>
    </row>
    <row r="482">
      <c r="A482" s="22" t="n">
        <v>45723</v>
      </c>
      <c r="B482" s="17" t="n">
        <v>3.15</v>
      </c>
      <c r="C482" s="16" t="n">
        <v>120</v>
      </c>
      <c r="D482" s="17" t="n">
        <v>24</v>
      </c>
      <c r="E482" s="17" t="n">
        <v>42</v>
      </c>
      <c r="F482" s="16" t="n">
        <v>54</v>
      </c>
      <c r="G482" s="17" t="n">
        <v>18</v>
      </c>
      <c r="H482" s="23" t="n">
        <v>2.625</v>
      </c>
      <c r="I482" s="23" t="n">
        <v>2.43</v>
      </c>
    </row>
    <row r="483">
      <c r="A483" s="20" t="n">
        <v>45730</v>
      </c>
      <c r="B483" s="13" t="n">
        <v>2.9</v>
      </c>
      <c r="C483" s="12" t="n">
        <v>120</v>
      </c>
      <c r="D483" s="13" t="n">
        <v>24</v>
      </c>
      <c r="E483" s="13" t="n">
        <v>42</v>
      </c>
      <c r="F483" s="12" t="n">
        <v>54</v>
      </c>
      <c r="G483" s="13" t="n">
        <v>18</v>
      </c>
      <c r="H483" s="21" t="n">
        <v>2.416666666666667</v>
      </c>
      <c r="I483" s="21" t="n">
        <v>2.42</v>
      </c>
    </row>
    <row r="484">
      <c r="A484" s="22" t="n">
        <v>45737</v>
      </c>
      <c r="B484" s="17" t="n">
        <v>3</v>
      </c>
      <c r="C484" s="16" t="n">
        <v>120</v>
      </c>
      <c r="D484" s="17" t="n">
        <v>24</v>
      </c>
      <c r="E484" s="17" t="n">
        <v>42</v>
      </c>
      <c r="F484" s="16" t="n">
        <v>54</v>
      </c>
      <c r="G484" s="17" t="n">
        <v>18</v>
      </c>
      <c r="H484" s="23" t="n">
        <v>2.5</v>
      </c>
      <c r="I484" s="23" t="n">
        <v>2.43</v>
      </c>
    </row>
    <row r="485">
      <c r="A485" s="20" t="n">
        <v>45744</v>
      </c>
      <c r="B485" s="13" t="n">
        <v>2.85</v>
      </c>
      <c r="C485" s="12" t="n">
        <v>120</v>
      </c>
      <c r="D485" s="13" t="n">
        <v>24</v>
      </c>
      <c r="E485" s="13" t="n">
        <v>42</v>
      </c>
      <c r="F485" s="12" t="n">
        <v>54</v>
      </c>
      <c r="G485" s="13" t="n">
        <v>18</v>
      </c>
      <c r="H485" s="21" t="n">
        <v>2.375</v>
      </c>
      <c r="I485" s="21" t="n">
        <v>2.42</v>
      </c>
    </row>
    <row r="486">
      <c r="A486" s="22" t="n">
        <v>45751</v>
      </c>
      <c r="B486" s="17" t="n">
        <v>2.88</v>
      </c>
      <c r="C486" s="16" t="n">
        <v>120</v>
      </c>
      <c r="D486" s="17" t="n">
        <v>24</v>
      </c>
      <c r="E486" s="17" t="n">
        <v>42</v>
      </c>
      <c r="F486" s="16" t="n">
        <v>54</v>
      </c>
      <c r="G486" s="17" t="n">
        <v>18</v>
      </c>
      <c r="H486" s="23" t="n">
        <v>2.4</v>
      </c>
      <c r="I486" s="23" t="n">
        <v>2.43</v>
      </c>
    </row>
    <row r="487">
      <c r="A487" s="20" t="n">
        <v>45758</v>
      </c>
      <c r="B487" s="13" t="n">
        <v>2.8</v>
      </c>
      <c r="C487" s="12" t="n">
        <v>120</v>
      </c>
      <c r="D487" s="13" t="n">
        <v>24</v>
      </c>
      <c r="E487" s="13" t="n">
        <v>42</v>
      </c>
      <c r="F487" s="12" t="n">
        <v>54</v>
      </c>
      <c r="G487" s="13" t="n">
        <v>18</v>
      </c>
      <c r="H487" s="21" t="n">
        <v>2.333333333333333</v>
      </c>
      <c r="I487" s="21" t="n">
        <v>2.42</v>
      </c>
    </row>
    <row r="488">
      <c r="A488" s="22" t="n">
        <v>45765</v>
      </c>
      <c r="B488" s="17" t="n">
        <v>2.77</v>
      </c>
      <c r="C488" s="16" t="n">
        <v>120</v>
      </c>
      <c r="D488" s="17" t="n">
        <v>24</v>
      </c>
      <c r="E488" s="17" t="n">
        <v>42</v>
      </c>
      <c r="F488" s="16" t="n">
        <v>54</v>
      </c>
      <c r="G488" s="17" t="n">
        <v>18</v>
      </c>
      <c r="H488" s="23" t="n">
        <v>2.308333333333334</v>
      </c>
      <c r="I488" s="23" t="n">
        <v>2.41</v>
      </c>
    </row>
    <row r="489">
      <c r="A489" s="20" t="n">
        <v>45772</v>
      </c>
      <c r="B489" s="13" t="n">
        <v>2.7</v>
      </c>
      <c r="C489" s="12" t="n">
        <v>120</v>
      </c>
      <c r="D489" s="13" t="n">
        <v>24</v>
      </c>
      <c r="E489" s="13" t="n">
        <v>42</v>
      </c>
      <c r="F489" s="12" t="n">
        <v>54</v>
      </c>
      <c r="G489" s="13" t="n">
        <v>18</v>
      </c>
      <c r="H489" s="21" t="n">
        <v>2.25</v>
      </c>
      <c r="I489" s="21" t="n">
        <v>2.4</v>
      </c>
    </row>
    <row r="490">
      <c r="A490" s="22" t="n">
        <v>45779</v>
      </c>
      <c r="B490" s="17" t="n">
        <v>2.8</v>
      </c>
      <c r="C490" s="16" t="n">
        <v>120</v>
      </c>
      <c r="D490" s="17" t="n">
        <v>24</v>
      </c>
      <c r="E490" s="17" t="n">
        <v>42</v>
      </c>
      <c r="F490" s="16" t="n">
        <v>54</v>
      </c>
      <c r="G490" s="17" t="n">
        <v>18</v>
      </c>
      <c r="H490" s="23" t="n">
        <v>2.333333333333333</v>
      </c>
      <c r="I490" s="23" t="n">
        <v>2.4</v>
      </c>
    </row>
    <row r="491">
      <c r="A491" s="20" t="n">
        <v>45786</v>
      </c>
      <c r="B491" s="13" t="n">
        <v>2.65</v>
      </c>
      <c r="C491" s="12" t="n">
        <v>120</v>
      </c>
      <c r="D491" s="13" t="n">
        <v>24</v>
      </c>
      <c r="E491" s="13" t="n">
        <v>42</v>
      </c>
      <c r="F491" s="12" t="n">
        <v>54</v>
      </c>
      <c r="G491" s="13" t="n">
        <v>18</v>
      </c>
      <c r="H491" s="21" t="n">
        <v>2.208333333333333</v>
      </c>
      <c r="I491" s="21" t="n">
        <v>2.38</v>
      </c>
    </row>
    <row r="492">
      <c r="A492" s="22" t="n">
        <v>45793</v>
      </c>
      <c r="B492" s="17" t="n">
        <v>2.79</v>
      </c>
      <c r="C492" s="16" t="n">
        <v>120</v>
      </c>
      <c r="D492" s="17" t="n">
        <v>24</v>
      </c>
      <c r="E492" s="17" t="n">
        <v>42</v>
      </c>
      <c r="F492" s="16" t="n">
        <v>54</v>
      </c>
      <c r="G492" s="17" t="n">
        <v>18</v>
      </c>
      <c r="H492" s="23" t="n">
        <v>2.325</v>
      </c>
      <c r="I492" s="23" t="n">
        <v>2.38</v>
      </c>
    </row>
    <row r="493">
      <c r="A493" s="20" t="n">
        <v>45800</v>
      </c>
      <c r="B493" s="13" t="n">
        <v>2.81</v>
      </c>
      <c r="C493" s="12" t="n">
        <v>120</v>
      </c>
      <c r="D493" s="13" t="n">
        <v>24</v>
      </c>
      <c r="E493" s="13" t="n">
        <v>42</v>
      </c>
      <c r="F493" s="12" t="n">
        <v>54</v>
      </c>
      <c r="G493" s="13" t="n">
        <v>18</v>
      </c>
      <c r="H493" s="21" t="n">
        <v>2.341666666666667</v>
      </c>
      <c r="I493" s="21" t="n">
        <v>2.37</v>
      </c>
    </row>
    <row r="494">
      <c r="A494" s="22" t="n">
        <v>45807</v>
      </c>
      <c r="B494" s="17" t="n">
        <v>2.72</v>
      </c>
      <c r="C494" s="16" t="n">
        <v>120</v>
      </c>
      <c r="D494" s="17" t="n">
        <v>24</v>
      </c>
      <c r="E494" s="17" t="n">
        <v>42</v>
      </c>
      <c r="F494" s="16" t="n">
        <v>54</v>
      </c>
      <c r="G494" s="17" t="n">
        <v>18</v>
      </c>
      <c r="H494" s="23" t="n">
        <v>2.266666666666667</v>
      </c>
      <c r="I494" s="23" t="n">
        <v>2.34</v>
      </c>
    </row>
    <row r="495">
      <c r="A495" s="20" t="n">
        <v>45814</v>
      </c>
      <c r="B495" s="13" t="n">
        <v>2.64</v>
      </c>
      <c r="C495" s="12" t="n">
        <v>120</v>
      </c>
      <c r="D495" s="13" t="n">
        <v>24</v>
      </c>
      <c r="E495" s="13" t="n">
        <v>42</v>
      </c>
      <c r="F495" s="12" t="n">
        <v>54</v>
      </c>
      <c r="G495" s="13" t="n">
        <v>18</v>
      </c>
      <c r="H495" s="21" t="n">
        <v>2.2</v>
      </c>
      <c r="I495" s="21" t="n">
        <v>2.32</v>
      </c>
    </row>
    <row r="496">
      <c r="A496" s="22" t="n">
        <v>45821</v>
      </c>
      <c r="B496" s="17" t="n">
        <v>2.7</v>
      </c>
      <c r="C496" s="16" t="n">
        <v>120</v>
      </c>
      <c r="D496" s="17" t="n">
        <v>24</v>
      </c>
      <c r="E496" s="17" t="n">
        <v>42</v>
      </c>
      <c r="F496" s="16" t="n">
        <v>54</v>
      </c>
      <c r="G496" s="17" t="n">
        <v>18</v>
      </c>
      <c r="H496" s="23" t="n">
        <v>2.25</v>
      </c>
      <c r="I496" s="23" t="n">
        <v>2.3</v>
      </c>
    </row>
    <row r="497">
      <c r="A497" s="20" t="n">
        <v>45828</v>
      </c>
      <c r="B497" s="13" t="n">
        <v>2.6</v>
      </c>
      <c r="C497" s="12" t="n">
        <v>120</v>
      </c>
      <c r="D497" s="13" t="n">
        <v>24</v>
      </c>
      <c r="E497" s="13" t="n">
        <v>42</v>
      </c>
      <c r="F497" s="12" t="n">
        <v>54</v>
      </c>
      <c r="G497" s="13" t="n">
        <v>18</v>
      </c>
      <c r="H497" s="21" t="n">
        <v>2.166666666666667</v>
      </c>
      <c r="I497" s="21" t="n">
        <v>2.28</v>
      </c>
    </row>
    <row r="498">
      <c r="A498" s="22" t="n">
        <v>45835</v>
      </c>
      <c r="B498" s="17" t="n">
        <v>2.71</v>
      </c>
      <c r="C498" s="16" t="n">
        <v>120</v>
      </c>
      <c r="D498" s="17" t="n">
        <v>24</v>
      </c>
      <c r="E498" s="17" t="n">
        <v>42</v>
      </c>
      <c r="F498" s="16" t="n">
        <v>54</v>
      </c>
      <c r="G498" s="17" t="n">
        <v>18</v>
      </c>
      <c r="H498" s="23" t="n">
        <v>2.258333333333333</v>
      </c>
      <c r="I498" s="23" t="n">
        <v>2.27</v>
      </c>
    </row>
    <row r="499">
      <c r="A499" s="20" t="n">
        <v>45842</v>
      </c>
      <c r="B499" s="13" t="n">
        <v>2.42</v>
      </c>
      <c r="C499" s="12" t="n">
        <v>120</v>
      </c>
      <c r="D499" s="13" t="n">
        <v>24</v>
      </c>
      <c r="E499" s="13" t="n">
        <v>42</v>
      </c>
      <c r="F499" s="12" t="n">
        <v>54</v>
      </c>
      <c r="G499" s="13" t="n">
        <v>18</v>
      </c>
      <c r="H499" s="21" t="n">
        <v>2.016666666666667</v>
      </c>
      <c r="I499" s="21" t="n">
        <v>2.24</v>
      </c>
    </row>
    <row r="500">
      <c r="A500" s="22" t="n">
        <v>45849</v>
      </c>
      <c r="B500" s="17" t="n">
        <v>2.55</v>
      </c>
      <c r="C500" s="16" t="n">
        <v>120</v>
      </c>
      <c r="D500" s="17" t="n">
        <v>24</v>
      </c>
      <c r="E500" s="17" t="n">
        <v>42</v>
      </c>
      <c r="F500" s="16" t="n">
        <v>54</v>
      </c>
      <c r="G500" s="17" t="n">
        <v>18</v>
      </c>
      <c r="H500" s="23" t="n">
        <v>2.125</v>
      </c>
      <c r="I500" s="23" t="n">
        <v>2.23</v>
      </c>
    </row>
    <row r="501">
      <c r="A501" s="20" t="n">
        <v>45856</v>
      </c>
      <c r="B501" s="13" t="n">
        <v>2.37</v>
      </c>
      <c r="C501" s="12" t="n">
        <v>120</v>
      </c>
      <c r="D501" s="13" t="n">
        <v>24</v>
      </c>
      <c r="E501" s="13" t="n">
        <v>42</v>
      </c>
      <c r="F501" s="12" t="n">
        <v>54</v>
      </c>
      <c r="G501" s="13" t="n">
        <v>18</v>
      </c>
      <c r="H501" s="21" t="n">
        <v>1.975</v>
      </c>
      <c r="I501" s="21" t="n">
        <v>2.21</v>
      </c>
    </row>
    <row r="502">
      <c r="A502" s="22" t="n">
        <v>45863</v>
      </c>
      <c r="B502" s="17" t="n">
        <v>2.4</v>
      </c>
      <c r="C502" s="16" t="n">
        <v>120</v>
      </c>
      <c r="D502" s="17" t="n">
        <v>24</v>
      </c>
      <c r="E502" s="17" t="n">
        <v>42</v>
      </c>
      <c r="F502" s="16" t="n">
        <v>54</v>
      </c>
      <c r="G502" s="17" t="n">
        <v>18</v>
      </c>
      <c r="H502" s="23" t="n">
        <v>2</v>
      </c>
      <c r="I502" s="23" t="n">
        <v>2.18</v>
      </c>
    </row>
    <row r="503">
      <c r="A503" s="20" t="n">
        <v>45870</v>
      </c>
      <c r="B503" s="13" t="n">
        <v>2.67</v>
      </c>
      <c r="C503" s="12" t="n">
        <v>120</v>
      </c>
      <c r="D503" s="13" t="n">
        <v>24</v>
      </c>
      <c r="E503" s="13" t="n">
        <v>42</v>
      </c>
      <c r="F503" s="12" t="n">
        <v>54</v>
      </c>
      <c r="G503" s="13" t="n">
        <v>18</v>
      </c>
      <c r="H503" s="21" t="n">
        <v>2.225</v>
      </c>
      <c r="I503" s="21" t="n">
        <v>2.18</v>
      </c>
    </row>
    <row r="504">
      <c r="A504" s="22" t="n">
        <v>45877</v>
      </c>
      <c r="B504" s="17" t="n">
        <v>2.6</v>
      </c>
      <c r="C504" s="16" t="n">
        <v>120</v>
      </c>
      <c r="D504" s="17" t="n">
        <v>24</v>
      </c>
      <c r="E504" s="17" t="n">
        <v>42</v>
      </c>
      <c r="F504" s="16" t="n">
        <v>54</v>
      </c>
      <c r="G504" s="17" t="n">
        <v>18</v>
      </c>
      <c r="H504" s="23" t="n">
        <v>2.166666666666667</v>
      </c>
      <c r="I504" s="23" t="n">
        <v>2.17</v>
      </c>
    </row>
    <row r="505">
      <c r="A505" s="20" t="n">
        <v>45884</v>
      </c>
      <c r="B505" s="13" t="n">
        <v>2.42</v>
      </c>
      <c r="C505" s="12" t="n">
        <v>120</v>
      </c>
      <c r="D505" s="13" t="n">
        <v>24</v>
      </c>
      <c r="E505" s="13" t="n">
        <v>42</v>
      </c>
      <c r="F505" s="12" t="n">
        <v>54</v>
      </c>
      <c r="G505" s="13" t="n">
        <v>18</v>
      </c>
      <c r="H505" s="21" t="n">
        <v>2.016666666666667</v>
      </c>
      <c r="I505" s="21" t="n">
        <v>2.14</v>
      </c>
    </row>
    <row r="506">
      <c r="A506" s="22" t="n">
        <v>45891</v>
      </c>
      <c r="B506" s="17" t="n">
        <v>2.33</v>
      </c>
      <c r="C506" s="16" t="n">
        <v>118</v>
      </c>
      <c r="D506" s="17" t="n">
        <v>23.6</v>
      </c>
      <c r="E506" s="17" t="n">
        <v>41.3</v>
      </c>
      <c r="F506" s="16" t="n">
        <v>53</v>
      </c>
      <c r="G506" s="17" t="n">
        <v>17.66666666666667</v>
      </c>
      <c r="H506" s="23" t="n">
        <v>1.974576271186441</v>
      </c>
      <c r="I506" s="23" t="n">
        <v>2.11</v>
      </c>
    </row>
    <row r="507">
      <c r="A507" s="20" t="n">
        <v>45898</v>
      </c>
      <c r="B507" s="13" t="n">
        <v>2.16</v>
      </c>
      <c r="C507" s="12" t="n">
        <v>118</v>
      </c>
      <c r="D507" s="13" t="n">
        <v>23.6</v>
      </c>
      <c r="E507" s="13" t="n">
        <v>41.3</v>
      </c>
      <c r="F507" s="12" t="n">
        <v>53</v>
      </c>
      <c r="G507" s="13" t="n">
        <v>17.66666666666667</v>
      </c>
      <c r="H507" s="21" t="n">
        <v>1.830508474576271</v>
      </c>
      <c r="I507" s="21" t="n">
        <v>2.08</v>
      </c>
    </row>
    <row r="508">
      <c r="A508" s="22" t="n">
        <v>45905</v>
      </c>
      <c r="B508" s="17" t="n">
        <v>2.39</v>
      </c>
      <c r="C508" s="16" t="n">
        <v>118</v>
      </c>
      <c r="D508" s="17" t="n">
        <v>23.6</v>
      </c>
      <c r="E508" s="17" t="n">
        <v>41.3</v>
      </c>
      <c r="F508" s="16" t="n">
        <v>53</v>
      </c>
      <c r="G508" s="17" t="n">
        <v>17.66666666666667</v>
      </c>
      <c r="H508" s="23" t="n">
        <v>2.02542372881356</v>
      </c>
      <c r="I508" s="23" t="n">
        <v>2.07</v>
      </c>
    </row>
    <row r="509">
      <c r="A509" s="20" t="n">
        <v>45912</v>
      </c>
      <c r="B509" s="13" t="n">
        <v>2.67</v>
      </c>
      <c r="C509" s="12" t="n">
        <v>118</v>
      </c>
      <c r="D509" s="13" t="n">
        <v>23.6</v>
      </c>
      <c r="E509" s="13" t="n">
        <v>41.3</v>
      </c>
      <c r="F509" s="12" t="n">
        <v>53</v>
      </c>
      <c r="G509" s="13" t="n">
        <v>17.66666666666667</v>
      </c>
      <c r="H509" s="21" t="n">
        <v>2.26271186440678</v>
      </c>
      <c r="I509" s="21" t="n">
        <v>2.07</v>
      </c>
    </row>
    <row r="510">
      <c r="A510" s="22" t="n">
        <v>45919</v>
      </c>
      <c r="B510" s="17" t="n">
        <v>2.45</v>
      </c>
      <c r="C510" s="16" t="n">
        <v>118</v>
      </c>
      <c r="D510" s="17" t="n">
        <v>23.6</v>
      </c>
      <c r="E510" s="17" t="n">
        <v>41.3</v>
      </c>
      <c r="F510" s="16" t="n">
        <v>53</v>
      </c>
      <c r="G510" s="17" t="n">
        <v>17.66666666666667</v>
      </c>
      <c r="H510" s="23" t="n">
        <v>2.076271186440678</v>
      </c>
      <c r="I510" s="23" t="n">
        <v>2.06</v>
      </c>
    </row>
    <row r="511">
      <c r="A511" s="20" t="n">
        <v>45926</v>
      </c>
      <c r="B511" s="13" t="n">
        <v>2.33</v>
      </c>
      <c r="C511" s="12" t="n">
        <v>118</v>
      </c>
      <c r="D511" s="13" t="n">
        <v>23.6</v>
      </c>
      <c r="E511" s="13" t="n">
        <v>41.3</v>
      </c>
      <c r="F511" s="12" t="n">
        <v>53</v>
      </c>
      <c r="G511" s="13" t="n">
        <v>17.66666666666667</v>
      </c>
      <c r="H511" s="21" t="n">
        <v>1.974576271186441</v>
      </c>
      <c r="I511" s="21" t="n">
        <v>2.05</v>
      </c>
    </row>
    <row r="512">
      <c r="A512" s="22" t="n">
        <v>45933</v>
      </c>
      <c r="B512" s="17" t="n">
        <v>2.42</v>
      </c>
      <c r="C512" s="16" t="n">
        <v>118</v>
      </c>
      <c r="D512" s="17" t="n">
        <v>23.6</v>
      </c>
      <c r="E512" s="17" t="n">
        <v>41.3</v>
      </c>
      <c r="F512" s="16" t="n">
        <v>53</v>
      </c>
      <c r="G512" s="17" t="n">
        <v>17.66666666666667</v>
      </c>
      <c r="H512" s="23" t="n">
        <v>2.050847457627119</v>
      </c>
      <c r="I512" s="23" t="n">
        <v>2.05</v>
      </c>
    </row>
    <row r="513">
      <c r="A513" s="20" t="n">
        <v>45940</v>
      </c>
      <c r="B513" s="13" t="n">
        <v>2.2</v>
      </c>
      <c r="C513" s="12" t="n">
        <v>118</v>
      </c>
      <c r="D513" s="13" t="n">
        <v>23.6</v>
      </c>
      <c r="E513" s="13" t="n">
        <v>41.3</v>
      </c>
      <c r="F513" s="12" t="n">
        <v>53</v>
      </c>
      <c r="G513" s="13" t="n">
        <v>17.66666666666667</v>
      </c>
      <c r="H513" s="21" t="n">
        <v>1.864406779661017</v>
      </c>
      <c r="I513" s="21" t="n">
        <v>2.04</v>
      </c>
    </row>
    <row r="514">
      <c r="A514" s="22" t="n">
        <v>45947</v>
      </c>
      <c r="B514" s="17" t="n">
        <v>2.31</v>
      </c>
      <c r="C514" s="16" t="n">
        <v>118</v>
      </c>
      <c r="D514" s="17" t="n">
        <v>23.6</v>
      </c>
      <c r="E514" s="17" t="n">
        <v>41.3</v>
      </c>
      <c r="F514" s="16" t="n">
        <v>53</v>
      </c>
      <c r="G514" s="17" t="n">
        <v>17.66666666666667</v>
      </c>
      <c r="H514" s="23" t="n">
        <v>1.957627118644068</v>
      </c>
      <c r="I514" s="23" t="n">
        <v>2.04</v>
      </c>
    </row>
    <row r="515">
      <c r="A515" s="20" t="n">
        <v>45954</v>
      </c>
      <c r="B515" s="13" t="n">
        <v>2.33</v>
      </c>
      <c r="C515" s="12" t="n">
        <v>118</v>
      </c>
      <c r="D515" s="13" t="n">
        <v>23.6</v>
      </c>
      <c r="E515" s="13" t="n">
        <v>41.3</v>
      </c>
      <c r="F515" s="12" t="n">
        <v>53</v>
      </c>
      <c r="G515" s="13" t="n">
        <v>17.66666666666667</v>
      </c>
      <c r="H515" s="21" t="n">
        <v>1.974576271186441</v>
      </c>
      <c r="I515" s="21" t="n">
        <v>2.01</v>
      </c>
    </row>
    <row r="516">
      <c r="A516" s="22" t="n">
        <v>45961</v>
      </c>
      <c r="B516" s="17" t="n">
        <v>2.29</v>
      </c>
      <c r="C516" s="16" t="n">
        <v>118</v>
      </c>
      <c r="D516" s="17" t="n">
        <v>23.6</v>
      </c>
      <c r="E516" s="17" t="n">
        <v>41.3</v>
      </c>
      <c r="F516" s="16" t="n">
        <v>53</v>
      </c>
      <c r="G516" s="17" t="n">
        <v>17.66666666666667</v>
      </c>
      <c r="H516" s="23" t="n">
        <v>1.940677966101695</v>
      </c>
      <c r="I516" s="23" t="n">
        <v>2</v>
      </c>
    </row>
    <row r="517">
      <c r="A517" s="20" t="n">
        <v>45968</v>
      </c>
      <c r="B517" s="13" t="n">
        <v>2.36</v>
      </c>
      <c r="C517" s="12" t="n">
        <v>118</v>
      </c>
      <c r="D517" s="13" t="n">
        <v>23.6</v>
      </c>
      <c r="E517" s="13" t="n">
        <v>41.3</v>
      </c>
      <c r="F517" s="12" t="n">
        <v>53</v>
      </c>
      <c r="G517" s="13" t="n">
        <v>17.66666666666667</v>
      </c>
      <c r="H517" s="21" t="n">
        <v>2</v>
      </c>
      <c r="I517" s="21" t="n">
        <v>1.99</v>
      </c>
    </row>
    <row r="518">
      <c r="A518" s="22" t="n">
        <v>45975</v>
      </c>
      <c r="B518" s="17" t="n">
        <v>2.3</v>
      </c>
      <c r="C518" s="16" t="n">
        <v>118</v>
      </c>
      <c r="D518" s="17" t="n">
        <v>23.6</v>
      </c>
      <c r="E518" s="17" t="n">
        <v>41.3</v>
      </c>
      <c r="F518" s="16" t="n">
        <v>53</v>
      </c>
      <c r="G518" s="17" t="n">
        <v>17.66666666666667</v>
      </c>
      <c r="H518" s="23" t="n">
        <v>1.949152542372881</v>
      </c>
      <c r="I518" s="23" t="n">
        <v>1.99</v>
      </c>
    </row>
    <row r="519">
      <c r="A519" s="20" t="n">
        <v>45982</v>
      </c>
      <c r="B519" s="13" t="n">
        <v>2.32</v>
      </c>
      <c r="C519" s="12" t="n">
        <v>118</v>
      </c>
      <c r="D519" s="13" t="n">
        <v>23.6</v>
      </c>
      <c r="E519" s="13" t="n">
        <v>41.3</v>
      </c>
      <c r="F519" s="12" t="n">
        <v>53</v>
      </c>
      <c r="G519" s="13" t="n">
        <v>17.66666666666667</v>
      </c>
      <c r="H519" s="21" t="n">
        <v>1.966101694915254</v>
      </c>
      <c r="I519" s="21" t="n">
        <v>2</v>
      </c>
    </row>
    <row r="520">
      <c r="A520" s="22" t="n">
        <v>45989</v>
      </c>
      <c r="B520" s="17" t="n">
        <v>2.16</v>
      </c>
      <c r="C520" s="16" t="n">
        <v>118</v>
      </c>
      <c r="D520" s="17" t="n">
        <v>23.6</v>
      </c>
      <c r="E520" s="17" t="n">
        <v>41.3</v>
      </c>
      <c r="F520" s="16" t="n">
        <v>53</v>
      </c>
      <c r="G520" s="17" t="n">
        <v>17.66666666666667</v>
      </c>
      <c r="H520" s="23" t="n">
        <v>1.830508474576271</v>
      </c>
      <c r="I520" s="23" t="n">
        <v>1.99</v>
      </c>
    </row>
    <row r="521">
      <c r="A521" s="20" t="n">
        <v>45996</v>
      </c>
      <c r="B521" s="13" t="n">
        <v>2.3</v>
      </c>
      <c r="C521" s="12" t="n">
        <v>118</v>
      </c>
      <c r="D521" s="13" t="n">
        <v>23.6</v>
      </c>
      <c r="E521" s="13" t="n">
        <v>41.3</v>
      </c>
      <c r="F521" s="12" t="n">
        <v>53</v>
      </c>
      <c r="G521" s="13" t="n">
        <v>17.66666666666667</v>
      </c>
      <c r="H521" s="21" t="n">
        <v>1.949152542372881</v>
      </c>
      <c r="I521" s="21" t="n">
        <v>1.96</v>
      </c>
    </row>
    <row r="522">
      <c r="A522" s="22" t="n">
        <v>46003</v>
      </c>
      <c r="B522" s="17" t="n">
        <v>2.36</v>
      </c>
      <c r="C522" s="16" t="n">
        <v>118</v>
      </c>
      <c r="D522" s="17" t="n">
        <v>23.6</v>
      </c>
      <c r="E522" s="17" t="n">
        <v>41.3</v>
      </c>
      <c r="F522" s="16" t="n">
        <v>53</v>
      </c>
      <c r="G522" s="17" t="n">
        <v>17.66666666666667</v>
      </c>
      <c r="H522" s="23" t="n">
        <v>2</v>
      </c>
      <c r="I522" s="23" t="n">
        <v>1.95</v>
      </c>
    </row>
    <row r="523">
      <c r="A523" s="20" t="n">
        <v>46010</v>
      </c>
      <c r="B523" s="13" t="n">
        <v>2.08</v>
      </c>
      <c r="C523" s="12" t="n">
        <v>118</v>
      </c>
      <c r="D523" s="13" t="n">
        <v>23.6</v>
      </c>
      <c r="E523" s="13" t="n">
        <v>41.3</v>
      </c>
      <c r="F523" s="12" t="n">
        <v>53</v>
      </c>
      <c r="G523" s="13" t="n">
        <v>17.66666666666667</v>
      </c>
      <c r="H523" s="21" t="n">
        <v>1.76271186440678</v>
      </c>
      <c r="I523" s="21" t="n">
        <v>1.94</v>
      </c>
    </row>
    <row r="524">
      <c r="A524" s="22" t="n">
        <v>46017</v>
      </c>
      <c r="B524" s="17" t="n">
        <v>2.07</v>
      </c>
      <c r="C524" s="16" t="n">
        <v>118</v>
      </c>
      <c r="D524" s="17" t="n">
        <v>23.6</v>
      </c>
      <c r="E524" s="17" t="n">
        <v>41.3</v>
      </c>
      <c r="F524" s="16" t="n">
        <v>53</v>
      </c>
      <c r="G524" s="17" t="n">
        <v>17.66666666666667</v>
      </c>
      <c r="H524" s="23" t="n">
        <v>1.754237288135593</v>
      </c>
      <c r="I524" s="23" t="n">
        <v>1.91</v>
      </c>
    </row>
    <row r="525">
      <c r="A525" s="20" t="n">
        <v>46024</v>
      </c>
      <c r="B525" s="13" t="n">
        <v>2.28</v>
      </c>
      <c r="C525" s="12" t="n">
        <v>118</v>
      </c>
      <c r="D525" s="13" t="n">
        <v>23.6</v>
      </c>
      <c r="E525" s="13" t="n">
        <v>41.3</v>
      </c>
      <c r="F525" s="12" t="n">
        <v>53</v>
      </c>
      <c r="G525" s="13" t="n">
        <v>17.66666666666667</v>
      </c>
      <c r="H525" s="21" t="n">
        <v>1.932203389830508</v>
      </c>
      <c r="I525" s="21" t="n">
        <v>1.92</v>
      </c>
    </row>
    <row r="526">
      <c r="A526" s="22" t="n">
        <v>46031</v>
      </c>
      <c r="B526" s="17" t="n">
        <v>2.11</v>
      </c>
      <c r="C526" s="16" t="n">
        <v>118</v>
      </c>
      <c r="D526" s="17" t="n">
        <v>23.6</v>
      </c>
      <c r="E526" s="17" t="n">
        <v>41.3</v>
      </c>
      <c r="F526" s="16" t="n">
        <v>53</v>
      </c>
      <c r="G526" s="17" t="n">
        <v>17.66666666666667</v>
      </c>
      <c r="H526" s="23" t="n">
        <v>1.788135593220339</v>
      </c>
      <c r="I526" s="23" t="n">
        <v>1.9</v>
      </c>
    </row>
    <row r="527">
      <c r="A527" s="20" t="n">
        <v>46038</v>
      </c>
      <c r="B527" s="13" t="n">
        <v>2.25</v>
      </c>
      <c r="C527" s="12" t="n">
        <v>118</v>
      </c>
      <c r="D527" s="13" t="n">
        <v>23.6</v>
      </c>
      <c r="E527" s="13" t="n">
        <v>41.3</v>
      </c>
      <c r="F527" s="12" t="n">
        <v>53</v>
      </c>
      <c r="G527" s="13" t="n">
        <v>17.66666666666667</v>
      </c>
      <c r="H527" s="21" t="n">
        <v>1.906779661016949</v>
      </c>
      <c r="I527" s="21" t="n">
        <v>1.9</v>
      </c>
    </row>
    <row r="528">
      <c r="A528" s="22" t="n">
        <v>46045</v>
      </c>
      <c r="B528" s="17" t="n">
        <v>2.04</v>
      </c>
      <c r="C528" s="16" t="n">
        <v>118</v>
      </c>
      <c r="D528" s="17" t="n">
        <v>23.6</v>
      </c>
      <c r="E528" s="17" t="n">
        <v>41.3</v>
      </c>
      <c r="F528" s="16" t="n">
        <v>53</v>
      </c>
      <c r="G528" s="17" t="n">
        <v>17.66666666666667</v>
      </c>
      <c r="H528" s="23" t="n">
        <v>1.728813559322034</v>
      </c>
      <c r="I528" s="23" t="n">
        <v>1.88</v>
      </c>
    </row>
    <row r="529">
      <c r="A529" s="20" t="n">
        <v>46052</v>
      </c>
      <c r="B529" s="13" t="n">
        <v>2.22</v>
      </c>
      <c r="C529" s="12" t="n">
        <v>118</v>
      </c>
      <c r="D529" s="13" t="n">
        <v>23.6</v>
      </c>
      <c r="E529" s="13" t="n">
        <v>41.3</v>
      </c>
      <c r="F529" s="12" t="n">
        <v>53</v>
      </c>
      <c r="G529" s="13" t="n">
        <v>17.66666666666667</v>
      </c>
      <c r="H529" s="21" t="n">
        <v>1.88135593220339</v>
      </c>
      <c r="I529" s="21" t="n">
        <v>1.87</v>
      </c>
    </row>
    <row r="530">
      <c r="A530" s="22" t="n">
        <v>46059</v>
      </c>
      <c r="B530" s="17" t="n">
        <v>2.07</v>
      </c>
      <c r="C530" s="16" t="n">
        <v>118</v>
      </c>
      <c r="D530" s="17" t="n">
        <v>23.6</v>
      </c>
      <c r="E530" s="17" t="n">
        <v>41.3</v>
      </c>
      <c r="F530" s="16" t="n">
        <v>53</v>
      </c>
      <c r="G530" s="17" t="n">
        <v>17.66666666666667</v>
      </c>
      <c r="H530" s="23" t="n">
        <v>1.754237288135593</v>
      </c>
      <c r="I530" s="23" t="n">
        <v>1.85</v>
      </c>
    </row>
    <row r="531">
      <c r="A531" s="20" t="n">
        <v>46066</v>
      </c>
      <c r="B531" s="13" t="n">
        <v>2.06</v>
      </c>
      <c r="C531" s="12" t="n">
        <v>118</v>
      </c>
      <c r="D531" s="13" t="n">
        <v>23.6</v>
      </c>
      <c r="E531" s="13" t="n">
        <v>41.3</v>
      </c>
      <c r="F531" s="12" t="n">
        <v>53</v>
      </c>
      <c r="G531" s="13" t="n">
        <v>17.66666666666667</v>
      </c>
      <c r="H531" s="21" t="n">
        <v>1.745762711864407</v>
      </c>
      <c r="I531" s="21" t="n">
        <v>1.84</v>
      </c>
    </row>
    <row r="532">
      <c r="A532" s="22" t="n">
        <v>46073</v>
      </c>
      <c r="B532" s="17" t="n">
        <v>2.17</v>
      </c>
      <c r="C532" s="16" t="n">
        <v>116</v>
      </c>
      <c r="D532" s="17" t="n">
        <v>23.2</v>
      </c>
      <c r="E532" s="17" t="n">
        <v>40.6</v>
      </c>
      <c r="F532" s="16" t="n">
        <v>52</v>
      </c>
      <c r="G532" s="17" t="n">
        <v>17.33333333333334</v>
      </c>
      <c r="H532" s="23" t="n">
        <v>1.870689655172414</v>
      </c>
      <c r="I532" s="23" t="n">
        <v>1.84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24" t="inlineStr">
        <is>
          <t>ARB Corporation (ASX: ARB)  —  Buy / Sell Zone Chart  |  Buy 20×  (Slow to buy)  |  Sell 35×  (Even slower to sell)</t>
        </is>
      </c>
    </row>
    <row r="2">
      <c r="A2" s="25" t="inlineStr">
        <is>
          <t>RRoR 3%  |  P/E 60-day avg  |  Change in Settings sheet</t>
        </is>
      </c>
    </row>
    <row r="45" ht="20" customHeight="1">
      <c r="A45" s="2" t="inlineStr">
        <is>
          <t>CHART INTERPRETATION</t>
        </is>
      </c>
    </row>
    <row r="46" ht="20" customHeight="1">
      <c r="A46" s="26" t="inlineStr">
        <is>
          <t>SLOW TO BUY: Price (blue) &lt; Value Buy (dark green dashed, 20× TTM EPS) → consider buying.</t>
        </is>
      </c>
    </row>
    <row r="47" ht="20" customHeight="1">
      <c r="A47" s="27" t="inlineStr">
        <is>
          <t>EVEN SLOWER TO SELL: Price &gt; Value Sell (red dashed, 35× TTM EPS) → only then consider trimming.</t>
        </is>
      </c>
    </row>
    <row r="48" ht="20" customHeight="1">
      <c r="A48" s="28" t="inlineStr">
        <is>
          <t>P/E (olive, right axis, max 50.0×): context for whether earnings multiple is stretched.</t>
        </is>
      </c>
    </row>
    <row r="49" ht="20" customHeight="1">
      <c r="A49" s="29" t="inlineStr">
        <is>
          <t>Div/RRoR (light green): price ≤ this line → dividend yield covers your return hurdle.</t>
        </is>
      </c>
    </row>
  </sheetData>
  <mergeCells count="7">
    <mergeCell ref="A48:N48"/>
    <mergeCell ref="A2:N2"/>
    <mergeCell ref="A49:N49"/>
    <mergeCell ref="A47:N47"/>
    <mergeCell ref="A45:N45"/>
    <mergeCell ref="A46:N4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9" t="inlineStr">
        <is>
          <t>FUTURE PROMPT — Copy this text to regenerate or adapt the spreadsheet for any ASX company</t>
        </is>
      </c>
    </row>
    <row r="2">
      <c r="A2" s="30" t="inlineStr">
        <is>
          <t>'=== ASX VALUE CHART — AGENT PROMPT v3 ===</t>
        </is>
      </c>
    </row>
    <row r="3">
      <c r="A3" s="30" t="inlineStr">
        <is>
          <t>To regenerate: run  python scripts/build_value_chart.py ARB.AX</t>
        </is>
      </c>
    </row>
    <row r="4">
      <c r="A4" s="30" t="inlineStr">
        <is>
          <t>To create new company: copy valuations/arb_ax.yaml,</t>
        </is>
      </c>
    </row>
    <row r="5">
      <c r="A5" s="30" t="inlineStr">
        <is>
          <t xml:space="preserve">  update all fields, then run  python scripts/build_value_chart.py NEW.AX</t>
        </is>
      </c>
    </row>
    <row r="6">
      <c r="A6" s="30" t="inlineStr"/>
    </row>
    <row r="7">
      <c r="A7" s="30" t="inlineStr">
        <is>
          <t>Reference template: outputs/NHC_ASX_Value_Analysis_v3.xlsx  (cyclical example)</t>
        </is>
      </c>
    </row>
    <row r="8">
      <c r="A8" s="30" t="inlineStr">
        <is>
          <t>Builder module:     wally/value_chart_builder.py</t>
        </is>
      </c>
    </row>
    <row r="9">
      <c r="A9" s="30" t="inlineStr">
        <is>
          <t>Config schema:      valuations/nhc_ax.yaml  (full annotated example)</t>
        </is>
      </c>
    </row>
    <row r="10">
      <c r="A10" s="30" t="inlineStr"/>
    </row>
    <row r="11">
      <c r="A11" s="30" t="inlineStr">
        <is>
          <t>━━━━ COMPANY ━━━━━━━━━━━━━━━━━━━━━━━━━━━━━━━━━━━━━━━━━━━━━━━━━━━━</t>
        </is>
      </c>
    </row>
    <row r="12">
      <c r="A12" s="30" t="inlineStr">
        <is>
          <t xml:space="preserve">  ticker:       ARB.AX</t>
        </is>
      </c>
    </row>
    <row r="13">
      <c r="A13" s="30" t="inlineStr">
        <is>
          <t xml:space="preserve">  company_name: ARB Corporation</t>
        </is>
      </c>
    </row>
    <row r="14">
      <c r="A14" s="30" t="inlineStr">
        <is>
          <t xml:space="preserve">  business:     4WD accessories manufacturer &amp; retailer — Aus domestic + export</t>
        </is>
      </c>
    </row>
    <row r="15">
      <c r="A15" s="30" t="inlineStr">
        <is>
          <t xml:space="preserve">  stock_type:   quality  ("cyclical" | "quality" | "growth" | "income")</t>
        </is>
      </c>
    </row>
    <row r="16">
      <c r="A16" s="30" t="inlineStr"/>
    </row>
    <row r="17">
      <c r="A17" s="30" t="inlineStr">
        <is>
          <t>━━━━ VALUATION INPUTS (Settings sheet yellow cells) ━━━━━━━━━━━━━━</t>
        </is>
      </c>
    </row>
    <row r="18">
      <c r="A18" s="30" t="inlineStr">
        <is>
          <t xml:space="preserve">  B8  buy_multiple:  20   — Slow to buy</t>
        </is>
      </c>
    </row>
    <row r="19">
      <c r="A19" s="30" t="inlineStr">
        <is>
          <t xml:space="preserve">  B9  sell_multiple: 35   — Even slower to sell (null = no sell line)</t>
        </is>
      </c>
    </row>
    <row r="20">
      <c r="A20" s="30" t="inlineStr">
        <is>
          <t xml:space="preserve">  B10 rror:          0.03    — Required rate of return (3%)</t>
        </is>
      </c>
    </row>
    <row r="21">
      <c r="A21" s="30" t="inlineStr">
        <is>
          <t xml:space="preserve">  B11 norm_eps:      None    — Normalised through-cycle EPS cents (null for quality stocks)</t>
        </is>
      </c>
    </row>
    <row r="22">
      <c r="A22" s="30" t="inlineStr">
        <is>
          <t xml:space="preserve">  B12 → Normalised Buy  Price: =B11*B8/100   (formula, display only)</t>
        </is>
      </c>
    </row>
    <row r="23">
      <c r="A23" s="30" t="inlineStr">
        <is>
          <t xml:space="preserve">  B13 → Normalised Sell Price: =B11*B9/100   (formula, display only)</t>
        </is>
      </c>
    </row>
    <row r="24">
      <c r="A24" s="30" t="inlineStr"/>
    </row>
    <row r="25">
      <c r="A25" s="30" t="inlineStr">
        <is>
          <t>━━━━ WORKBOOK STRUCTURE (5 sheets) ━━━━━━━━━━━━━━━━━━━━━━━━━━━━━━━</t>
        </is>
      </c>
    </row>
    <row r="26">
      <c r="A26" s="30" t="inlineStr">
        <is>
          <t xml:space="preserve">  1. Settings      — company + yellow input cells + cyclical warnings (if stock_type=cyclical)</t>
        </is>
      </c>
    </row>
    <row r="27">
      <c r="A27" s="30" t="inlineStr">
        <is>
          <t xml:space="preserve">  2. EarningsData  — half-year periods; Value Buy =D×B8/100, Value Sell =D×B9/100, Div/RRoR =F/B10/100</t>
        </is>
      </c>
    </row>
    <row r="28">
      <c r="A28" s="30" t="inlineStr">
        <is>
          <t xml:space="preserve">  3. PriceData     — WEEKLY prices (Friday close, pandas resample("W-FRI"))</t>
        </is>
      </c>
    </row>
    <row r="29">
      <c r="A29" s="30" t="inlineStr">
        <is>
          <t xml:space="preserve">                     ~530 rows over 10 years; far cleaner chart line than daily (~2600 rows)</t>
        </is>
      </c>
    </row>
    <row r="30">
      <c r="A30" s="30" t="inlineStr">
        <is>
          <t xml:space="preserve">                     Columns: Date(Fri)|Price|TTM_EPS|ValueBuy|ValueSell*|TTM_Div|Div/RRoR|P/E|P/E_smooth</t>
        </is>
      </c>
    </row>
    <row r="31">
      <c r="A31" s="30" t="inlineStr">
        <is>
          <t xml:space="preserve">                     (*ValueSell column omitted if sell_multiple is null)</t>
        </is>
      </c>
    </row>
    <row r="32">
      <c r="A32" s="30" t="inlineStr">
        <is>
          <t xml:space="preserve">                     P/E smooth: rolling(window=12, min_periods=4).mean()  [12 wks ≈ 60 days]</t>
        </is>
      </c>
    </row>
    <row r="33">
      <c r="A33" s="30" t="inlineStr">
        <is>
          <t xml:space="preserve">  4. ValueChart    — dual-axis chart (see CHART SPEC below)</t>
        </is>
      </c>
    </row>
    <row r="34">
      <c r="A34" s="30" t="inlineStr">
        <is>
          <t xml:space="preserve">  5. FuturePrompt  — this text, Courier New 9pt, column A width=110</t>
        </is>
      </c>
    </row>
    <row r="35">
      <c r="A35" s="30" t="inlineStr"/>
    </row>
    <row r="36">
      <c r="A36" s="30" t="inlineStr">
        <is>
          <t>━━━━ CHART SPECIFICATION ━━━━━━━━━━━━━━━━━━━━━━━━━━━━━━━━━━━━━━━━━</t>
        </is>
      </c>
    </row>
    <row r="37">
      <c r="A37" s="30" t="inlineStr">
        <is>
          <t xml:space="preserve">  Positioned at: A3  |  width=34  height=20 (openpyxl units)</t>
        </is>
      </c>
    </row>
    <row r="38">
      <c r="A38" s="30" t="inlineStr"/>
    </row>
    <row r="39">
      <c r="A39" s="30" t="inlineStr">
        <is>
          <t xml:space="preserve">  SERIES &amp; AXIS ASSIGNMENT:</t>
        </is>
      </c>
    </row>
    <row r="40">
      <c r="A40" s="30" t="inlineStr">
        <is>
          <t xml:space="preserve">  ┌──────────────────────────────────┬────────────────┬────────────┬────────────────────────┐</t>
        </is>
      </c>
    </row>
    <row r="41">
      <c r="A41" s="30" t="inlineStr">
        <is>
          <t xml:space="preserve">  │ Series                           │ Axis           │ Colour hex │ Width (EMU) / Style    │</t>
        </is>
      </c>
    </row>
    <row r="42">
      <c r="A42" s="30" t="inlineStr">
        <is>
          <t xml:space="preserve">  ├──────────────────────────────────┼────────────────┼────────────┼────────────────────────┤</t>
        </is>
      </c>
    </row>
    <row r="43">
      <c r="A43" s="30" t="inlineStr">
        <is>
          <t xml:space="preserve">  │ Price (AUD $)                    │ PRIMARY LEFT   │ 1565C0   │ 9525 / solid              │</t>
        </is>
      </c>
    </row>
    <row r="44">
      <c r="A44" s="30" t="inlineStr">
        <is>
          <t xml:space="preserve">  │ Value Buy  (20× TTM EPS)           │ SECONDARY RIGHT│ 1A5E20   │ 19050 / dash            │</t>
        </is>
      </c>
    </row>
    <row r="45">
      <c r="A45" s="30" t="inlineStr">
        <is>
          <t xml:space="preserve">  │ Value Sell (35× TTM EPS)          │ SECONDARY RIGHT│ C0392B   │ 19050 / dash            │</t>
        </is>
      </c>
    </row>
    <row r="46">
      <c r="A46" s="30" t="inlineStr">
        <is>
          <t xml:space="preserve">  │ Div / RRoR (3%)            │ SECONDARY RIGHT│ 2E7D32   │ 19050 / dash            │</t>
        </is>
      </c>
    </row>
    <row r="47">
      <c r="A47" s="30" t="inlineStr">
        <is>
          <t xml:space="preserve">  │ P/E (60D Avg)                    │ SECONDARY RIGHT│ B8860B   │ 15875 / solid              │</t>
        </is>
      </c>
    </row>
    <row r="48">
      <c r="A48" s="30" t="inlineStr">
        <is>
          <t xml:space="preserve">  └──────────────────────────────────┴────────────────┴────────────┴────────────────────────┘</t>
        </is>
      </c>
    </row>
    <row r="49">
      <c r="A49" s="30" t="inlineStr">
        <is>
          <t xml:space="preserve">  EMU reference: 12700 = 1pt | 9525 = 0.75pt | 19050 = 1.5pt | 15875 = 1.25pt</t>
        </is>
      </c>
    </row>
    <row r="50">
      <c r="A50" s="30" t="inlineStr">
        <is>
          <t xml:space="preserve">  All series: marker.symbol = "none"</t>
        </is>
      </c>
    </row>
    <row r="51">
      <c r="A51" s="30" t="inlineStr"/>
    </row>
    <row r="52">
      <c r="A52" s="30" t="inlineStr">
        <is>
          <t xml:space="preserve">  PRIMARY AXIS (left):</t>
        </is>
      </c>
    </row>
    <row r="53">
      <c r="A53" s="30" t="inlineStr">
        <is>
          <t xml:space="preserve">    title: "Price (AUD $)"   min:0.0  max:60.0  majorUnit:5.0</t>
        </is>
      </c>
    </row>
    <row r="54">
      <c r="A54" s="30" t="inlineStr">
        <is>
          <t xml:space="preserve">    numFmt: "$"#,##0.00    gridlines: None</t>
        </is>
      </c>
    </row>
    <row r="55">
      <c r="A55" s="30" t="inlineStr"/>
    </row>
    <row r="56">
      <c r="A56" s="30" t="inlineStr">
        <is>
          <t xml:space="preserve">  SECONDARY AXIS (right):</t>
        </is>
      </c>
    </row>
    <row r="57">
      <c r="A57" s="30" t="inlineStr">
        <is>
          <t xml:space="preserve">    axId: 200   crosses: "max"   axPos: "r"  ← MUST be set via XML patch (see below)</t>
        </is>
      </c>
    </row>
    <row r="58">
      <c r="A58" s="30" t="inlineStr">
        <is>
          <t xml:space="preserve">    title: "P/E Ratio"   min:0.0  max:50.0  majorUnit:5.0</t>
        </is>
      </c>
    </row>
    <row r="59">
      <c r="A59" s="30" t="inlineStr">
        <is>
          <t xml:space="preserve">    numFmt: 0.0         gridlines: None</t>
        </is>
      </c>
    </row>
    <row r="60">
      <c r="A60" s="30" t="inlineStr">
        <is>
          <t xml:space="preserve">    max=50.0 hard caps old P/E spikes — prevents compressing current view</t>
        </is>
      </c>
    </row>
    <row r="61">
      <c r="A61" s="30" t="inlineStr"/>
    </row>
    <row r="62">
      <c r="A62" s="30" t="inlineStr">
        <is>
          <t xml:space="preserve">  CATEGORY AXIS (bottom):</t>
        </is>
      </c>
    </row>
    <row r="63">
      <c r="A63" s="30" t="inlineStr">
        <is>
          <t xml:space="preserve">    numFmt: "MMM-YY"   tickLblSkip:26  tickMarkSkip:26</t>
        </is>
      </c>
    </row>
    <row r="64">
      <c r="A64" s="30" t="inlineStr">
        <is>
          <t xml:space="preserve">    With weekly data: skip=26 ≈ every 6 months. Use skip=13 for ~3 months.</t>
        </is>
      </c>
    </row>
    <row r="65">
      <c r="A65" s="30" t="inlineStr">
        <is>
          <t xml:space="preserve">    gridlines: None</t>
        </is>
      </c>
    </row>
    <row r="66">
      <c r="A66" s="30" t="inlineStr"/>
    </row>
    <row r="67">
      <c r="A67" s="30" t="inlineStr">
        <is>
          <t xml:space="preserve">  LEGEND:</t>
        </is>
      </c>
    </row>
    <row r="68">
      <c r="A68" s="30" t="inlineStr">
        <is>
          <t xml:space="preserve">    position: "t"   overlay: True</t>
        </is>
      </c>
    </row>
    <row r="69">
      <c r="A69" s="30" t="inlineStr"/>
    </row>
    <row r="70">
      <c r="A70" s="30" t="inlineStr">
        <is>
          <t>━━━━ XML PATCH (applied after wb.save() via patch_chart_xml()) ━━━━</t>
        </is>
      </c>
    </row>
    <row r="71">
      <c r="A71" s="30" t="inlineStr">
        <is>
          <t xml:space="preserve">  File: xl/charts/chart1.xml inside the xlsx zip</t>
        </is>
      </c>
    </row>
    <row r="72">
      <c r="A72" s="30" t="inlineStr">
        <is>
          <t xml:space="preserve">  Namespaces: C_NS="http://schemas.openxmlformats.org/drawingml/2006/chart"</t>
        </is>
      </c>
    </row>
    <row r="73">
      <c r="A73" s="30" t="inlineStr">
        <is>
          <t xml:space="preserve">              A_NS="http://schemas.openxmlformats.org/drawingml/2006/main"</t>
        </is>
      </c>
    </row>
    <row r="74">
      <c r="A74" s="30" t="inlineStr"/>
    </row>
    <row r="75">
      <c r="A75" s="30" t="inlineStr">
        <is>
          <t xml:space="preserve">  PATCH 1 — Axis title boxes (both valAx elements, axId=100 and axId=200):</t>
        </is>
      </c>
    </row>
    <row r="76">
      <c r="A76" s="30" t="inlineStr">
        <is>
          <t xml:space="preserve">    &lt;c:title&gt;</t>
        </is>
      </c>
    </row>
    <row r="77">
      <c r="A77" s="30" t="inlineStr">
        <is>
          <t xml:space="preserve">      &lt;c:tx&gt; → replace with &lt;c:rich&gt; bold text (see _rich_bold_tx helper)</t>
        </is>
      </c>
    </row>
    <row r="78">
      <c r="A78" s="30" t="inlineStr">
        <is>
          <t xml:space="preserve">              font: Arial, sz=900 (hundredths of pt), bold=1, color=000000</t>
        </is>
      </c>
    </row>
    <row r="79">
      <c r="A79" s="30" t="inlineStr">
        <is>
          <t xml:space="preserve">      &lt;c:spPr&gt;</t>
        </is>
      </c>
    </row>
    <row r="80">
      <c r="A80" s="30" t="inlineStr">
        <is>
          <t xml:space="preserve">        &lt;a:solidFill&gt;&lt;a:srgbClr val="FFFF00"/&gt;&lt;/a:solidFill&gt;  ← yellow fill</t>
        </is>
      </c>
    </row>
    <row r="81">
      <c r="A81" s="30" t="inlineStr">
        <is>
          <t xml:space="preserve">        &lt;a:ln w="9525"&gt;</t>
        </is>
      </c>
    </row>
    <row r="82">
      <c r="A82" s="30" t="inlineStr">
        <is>
          <t xml:space="preserve">          &lt;a:solidFill&gt;&lt;a:srgbClr val="000000"/&gt;&lt;/a:solidFill&gt;  ← black border</t>
        </is>
      </c>
    </row>
    <row r="83">
      <c r="A83" s="30" t="inlineStr">
        <is>
          <t xml:space="preserve">        &lt;/a:ln&gt;</t>
        </is>
      </c>
    </row>
    <row r="84">
      <c r="A84" s="30" t="inlineStr">
        <is>
          <t xml:space="preserve">      &lt;/c:spPr&gt;</t>
        </is>
      </c>
    </row>
    <row r="85">
      <c r="A85" s="30" t="inlineStr"/>
    </row>
    <row r="86">
      <c r="A86" s="30" t="inlineStr">
        <is>
          <t xml:space="preserve">  PATCH 2 — Secondary axis right-side position:</t>
        </is>
      </c>
    </row>
    <row r="87">
      <c r="A87" s="30" t="inlineStr">
        <is>
          <t xml:space="preserve">    Find &lt;valAx&gt; where &lt;axId val="200"&gt;</t>
        </is>
      </c>
    </row>
    <row r="88">
      <c r="A88" s="30" t="inlineStr">
        <is>
          <t xml:space="preserve">    Set &lt;axPos val="r"/&gt;   (openpyxl writes "l" by default — must override)</t>
        </is>
      </c>
    </row>
    <row r="89">
      <c r="A89" s="30" t="inlineStr"/>
    </row>
    <row r="90">
      <c r="A90" s="30" t="inlineStr">
        <is>
          <t xml:space="preserve">  PATCH 3 — Legend box:</t>
        </is>
      </c>
    </row>
    <row r="91">
      <c r="A91" s="30" t="inlineStr">
        <is>
          <t xml:space="preserve">    &lt;c:legend&gt;</t>
        </is>
      </c>
    </row>
    <row r="92">
      <c r="A92" s="30" t="inlineStr">
        <is>
          <t xml:space="preserve">      &lt;c:spPr&gt;</t>
        </is>
      </c>
    </row>
    <row r="93">
      <c r="A93" s="30" t="inlineStr">
        <is>
          <t xml:space="preserve">        &lt;a:solidFill&gt;&lt;a:srgbClr val="FFFFFF"/&gt;&lt;/a:solidFill&gt;  ← white fill</t>
        </is>
      </c>
    </row>
    <row r="94">
      <c r="A94" s="30" t="inlineStr">
        <is>
          <t xml:space="preserve">        &lt;a:ln w="12700"&gt;</t>
        </is>
      </c>
    </row>
    <row r="95">
      <c r="A95" s="30" t="inlineStr">
        <is>
          <t xml:space="preserve">          &lt;a:solidFill&gt;&lt;a:srgbClr val="404040"/&gt;&lt;/a:solidFill&gt;  ← dark grey border</t>
        </is>
      </c>
    </row>
    <row r="96">
      <c r="A96" s="30" t="inlineStr">
        <is>
          <t xml:space="preserve">        &lt;/a:ln&gt;</t>
        </is>
      </c>
    </row>
    <row r="97">
      <c r="A97" s="30" t="inlineStr">
        <is>
          <t xml:space="preserve">      &lt;/c:spPr&gt;</t>
        </is>
      </c>
    </row>
    <row r="98">
      <c r="A98" s="30" t="inlineStr"/>
    </row>
    <row r="99">
      <c r="A99" s="30" t="inlineStr">
        <is>
          <t>━━━━ CELL FORMATTING STANDARDS ━━━━━━━━━━━━━━━━━━━━━━━━━━━━━━━━━━━</t>
        </is>
      </c>
    </row>
    <row r="100">
      <c r="A100" s="30" t="inlineStr">
        <is>
          <t xml:space="preserve">  Font: Arial 9pt throughout</t>
        </is>
      </c>
    </row>
    <row r="101">
      <c r="A101" s="30" t="inlineStr">
        <is>
          <t xml:space="preserve">  Header cells:  fill=1F2D4E (navy),  color=FFFFFF (white),  bold=True</t>
        </is>
      </c>
    </row>
    <row r="102">
      <c r="A102" s="30" t="inlineStr">
        <is>
          <t xml:space="preserve">  Input cells:   fill=FFFF00 (yellow), color=0000FF (blue), bold=False</t>
        </is>
      </c>
    </row>
    <row r="103">
      <c r="A103" s="30" t="inlineStr">
        <is>
          <t xml:space="preserve">  Formula cells: italic=True, color=333333, no special fill</t>
        </is>
      </c>
    </row>
    <row r="104">
      <c r="A104" s="30" t="inlineStr">
        <is>
          <t xml:space="preserve">  Row bands:     even rows fill=F2F2F2, odd rows fill=FFFFFF</t>
        </is>
      </c>
    </row>
    <row r="105">
      <c r="A105" s="30" t="inlineStr">
        <is>
          <t xml:space="preserve">  All cells:     Border: thin, color=BBBBBB  |  Alignment: vertical=center</t>
        </is>
      </c>
    </row>
    <row r="106">
      <c r="A106" s="30" t="inlineStr"/>
    </row>
    <row r="107">
      <c r="A107" s="30" t="inlineStr">
        <is>
          <t>━━━━ ADDING A NEW COMPANY ━━━━━━━━━━━━━━━━━━━━━━━━━━━━━━━━━━━━━━━━</t>
        </is>
      </c>
    </row>
    <row r="108">
      <c r="A108" s="30" t="inlineStr">
        <is>
          <t xml:space="preserve">  1. Copy valuations/nhc_ax.yaml → valuations/&lt;new_ticker_slug&gt;.yaml</t>
        </is>
      </c>
    </row>
    <row r="109">
      <c r="A109" s="30" t="inlineStr">
        <is>
          <t xml:space="preserve">  2. Update all fields: ticker, company_name, business, stock_type</t>
        </is>
      </c>
    </row>
    <row r="110">
      <c r="A110" s="30" t="inlineStr">
        <is>
          <t xml:space="preserve">  3. Set buy_multiple, sell_multiple, rror, norm_eps (null if not cyclical)</t>
        </is>
      </c>
    </row>
    <row r="111">
      <c r="A111" s="30" t="inlineStr">
        <is>
          <t xml:space="preserve">  4. Adjust chart.left_axis.max to ~20% above expected peak price</t>
        </is>
      </c>
    </row>
    <row r="112">
      <c r="A112" s="30" t="inlineStr">
        <is>
          <t xml:space="preserve">  5. Adjust chart.right_axis.max to accommodate expected P/E range</t>
        </is>
      </c>
    </row>
    <row r="113">
      <c r="A113" s="30" t="inlineStr">
        <is>
          <t xml:space="preserve">  6. Update tick_label_skip (26 = 6 months with weekly data)</t>
        </is>
      </c>
    </row>
    <row r="114">
      <c r="A114" s="30" t="inlineStr">
        <is>
          <t xml:space="preserve">  7. Fill in earnings history (date, period, ttm_eps, ttm_div, notes)</t>
        </is>
      </c>
    </row>
    <row r="115">
      <c r="A115" s="30" t="inlineStr">
        <is>
          <t xml:space="preserve">  8. Run: python scripts/build_value_chart.py NEW.AX</t>
        </is>
      </c>
    </row>
    <row r="116">
      <c r="A116" s="30" t="inlineStr">
        <is>
          <t xml:space="preserve">     Or:  python scripts/build_value_chart.py NEW.AX --price-csv path/to/prices.csv</t>
        </is>
      </c>
    </row>
    <row r="117">
      <c r="A117" s="30" t="inlineStr"/>
    </row>
    <row r="118">
      <c r="A118" s="30" t="inlineStr">
        <is>
          <t>━━━━ PRICE DATA NOTE ━━━━━━━━━━━━━━━━━━━━━━━━━━━━━━━━━━━━━━━━━━━━━</t>
        </is>
      </c>
    </row>
    <row r="119">
      <c r="A119" s="30" t="inlineStr">
        <is>
          <t xml:space="preserve">  Source: marketindex.com.au/asx/arb — export daily CSV (Date as YYYYMMDD)</t>
        </is>
      </c>
    </row>
    <row r="120">
      <c r="A120" s="30" t="inlineStr">
        <is>
          <t xml:space="preserve">  Resample: df.set_index("Date").resample("W-FRI").last().dropna().reset_index()</t>
        </is>
      </c>
    </row>
    <row r="121">
      <c r="A121" s="30" t="inlineStr">
        <is>
          <t xml:space="preserve">  Why weekly: ~530 rows vs ~2600 daily. Thinner, cleaner price line without changing line width.</t>
        </is>
      </c>
    </row>
    <row r="122">
      <c r="A122" s="30" t="inlineStr">
        <is>
          <t xml:space="preserve">  Microsoft 365: =STOCKHISTORY("ARB.AX",DATE(2016,1,1),TODAY(),0,1,0,1)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2026-03-10T05:00:38Z</dcterms:created>
  <dcterms:modified xmlns:dcterms="http://purl.org/dc/terms/" xmlns:xsi="http://www.w3.org/2001/XMLSchema-instance" xsi:type="dcterms:W3CDTF">2026-03-10T05:00:39Z</dcterms:modified>
</cp:coreProperties>
</file>